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omments1.xml" ContentType="application/vnd.openxmlformats-officedocument.spreadsheetml.comments+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mc:AlternateContent xmlns:mc="http://schemas.openxmlformats.org/markup-compatibility/2006">
    <mc:Choice Requires="x15">
      <x15ac:absPath xmlns:x15ac="http://schemas.microsoft.com/office/spreadsheetml/2010/11/ac" url="C:\Users\ahr\Downloads\"/>
    </mc:Choice>
  </mc:AlternateContent>
  <xr:revisionPtr revIDLastSave="0" documentId="8_{2400EC16-72B7-49EE-88E6-6CE19940F37C}" xr6:coauthVersionLast="47" xr6:coauthVersionMax="47" xr10:uidLastSave="{00000000-0000-0000-0000-000000000000}"/>
  <bookViews>
    <workbookView xWindow="-120" yWindow="-120" windowWidth="29040" windowHeight="15840" activeTab="1" xr2:uid="{00000000-000D-0000-FFFF-FFFF00000000}"/>
  </bookViews>
  <sheets>
    <sheet name="Dashboard" sheetId="1" r:id="rId1"/>
    <sheet name="توضیحات1" sheetId="28" r:id="rId2"/>
    <sheet name="Master Merged View (خلاصه کل)" sheetId="26" r:id="rId3"/>
    <sheet name="Master Merged View (English)" sheetId="27" r:id="rId4"/>
    <sheet name="توضیحات2 " sheetId="29" r:id="rId5"/>
    <sheet name="توضیحات3 " sheetId="31" r:id="rId6"/>
    <sheet name="Piping &amp; Valves" sheetId="2" r:id="rId7"/>
    <sheet name="Piping &amp; Valves تجمعی" sheetId="9" state="hidden" r:id="rId8"/>
    <sheet name="PIPING &amp; VALVES جدول تفکیک قیمت" sheetId="21" state="hidden" r:id="rId9"/>
    <sheet name="Piping" sheetId="10" state="hidden" r:id="rId10"/>
    <sheet name="Ball Valve" sheetId="12" state="hidden" r:id="rId11"/>
    <sheet name="Check Valve" sheetId="13" state="hidden" r:id="rId12"/>
    <sheet name="Gate Valve" sheetId="16" state="hidden" r:id="rId13"/>
    <sheet name="Chock Valve" sheetId="14" state="hidden" r:id="rId14"/>
    <sheet name="GLOBE VALVE" sheetId="17" state="hidden" r:id="rId15"/>
    <sheet name="EXPANSION JOINT" sheetId="18" state="hidden" r:id="rId16"/>
    <sheet name="bulk" sheetId="15" state="hidden" r:id="rId17"/>
    <sheet name="توضیحات3  (2)" sheetId="32" r:id="rId18"/>
    <sheet name="Mechanical" sheetId="3" r:id="rId19"/>
    <sheet name="Mechanicalتجمعی " sheetId="22" state="hidden" r:id="rId20"/>
    <sheet name="Mechanical جدول تفکیک " sheetId="23" state="hidden" r:id="rId21"/>
    <sheet name="ANCHOR FLANGE" sheetId="24" state="hidden" r:id="rId22"/>
    <sheet name="BLOCK VALVE" sheetId="25" state="hidden" r:id="rId23"/>
    <sheet name="توضیحات3  (3)" sheetId="33" r:id="rId24"/>
    <sheet name="Electrical" sheetId="4" r:id="rId25"/>
    <sheet name="توضیحات3  (4)" sheetId="34" r:id="rId26"/>
    <sheet name="Instrumentation" sheetId="5" r:id="rId27"/>
    <sheet name="توضیحات3  (5)" sheetId="35" r:id="rId28"/>
    <sheet name="Cathodic Protection" sheetId="6" r:id="rId29"/>
    <sheet name="توضیحات3  (6)" sheetId="36" r:id="rId30"/>
    <sheet name="Safety &amp; Fire Fighting" sheetId="7" r:id="rId31"/>
    <sheet name="توضیحات3  (7)" sheetId="37" r:id="rId32"/>
    <sheet name="Spare Parts" sheetId="8" r:id="rId33"/>
  </sheets>
  <definedNames>
    <definedName name="_xlnm._FilterDatabase" localSheetId="19" hidden="1">'Mechanicalتجمعی '!$A$7:$L$48</definedName>
    <definedName name="_xlnm._FilterDatabase" localSheetId="6" hidden="1">'Piping &amp; Valves'!$B$6:$M$29</definedName>
    <definedName name="_xlnm._FilterDatabase" localSheetId="7" hidden="1">'Piping &amp; Valves تجمعی'!$B$7:$M$71</definedName>
    <definedName name="_xlnm.Print_Area" localSheetId="26">Instrumentation!$A$1:$L$117</definedName>
    <definedName name="_xlnm.Print_Area" localSheetId="2">'Master Merged View (خلاصه کل)'!$A$1:$F$11</definedName>
    <definedName name="_xlnm.Print_Area" localSheetId="1">توضیحات1!$A$1:$F$11</definedName>
    <definedName name="_xlnm.Print_Area" localSheetId="4">'توضیحات2 '!$A$1:$F$11</definedName>
    <definedName name="_xlnm.Print_Area" localSheetId="5">'توضیحات3 '!$A$1:$F$11</definedName>
    <definedName name="_xlnm.Print_Area" localSheetId="17">'توضیحات3  (2)'!$A$1:$F$11</definedName>
    <definedName name="_xlnm.Print_Area" localSheetId="23">'توضیحات3  (3)'!$A$1:$F$11</definedName>
    <definedName name="_xlnm.Print_Area" localSheetId="25">'توضیحات3  (4)'!$A$1:$F$11</definedName>
    <definedName name="_xlnm.Print_Area" localSheetId="27">'توضیحات3  (5)'!$A$1:$F$11</definedName>
    <definedName name="_xlnm.Print_Area" localSheetId="29">'توضیحات3  (6)'!$A$1:$F$11</definedName>
    <definedName name="_xlnm.Print_Area" localSheetId="31">'توضیحات3  (7)'!$A$1:$F$11</definedName>
    <definedName name="_xlnm.Print_Titles" localSheetId="21">'ANCHOR FLANGE'!#REF!</definedName>
    <definedName name="_xlnm.Print_Titles" localSheetId="10">'Ball Valve'!#REF!</definedName>
    <definedName name="_xlnm.Print_Titles" localSheetId="22">'BLOCK VALVE'!#REF!</definedName>
    <definedName name="_xlnm.Print_Titles" localSheetId="16">bulk!#REF!</definedName>
    <definedName name="_xlnm.Print_Titles" localSheetId="11">'Check Valve'!#REF!</definedName>
    <definedName name="_xlnm.Print_Titles" localSheetId="13">'Chock Valve'!#REF!</definedName>
    <definedName name="_xlnm.Print_Titles" localSheetId="0">Dashboard!$6:$6</definedName>
    <definedName name="_xlnm.Print_Titles" localSheetId="15">'EXPANSION JOINT'!#REF!</definedName>
    <definedName name="_xlnm.Print_Titles" localSheetId="12">'Gate Valve'!#REF!</definedName>
    <definedName name="_xlnm.Print_Titles" localSheetId="14">'GLOBE VALVE'!#REF!</definedName>
    <definedName name="_xlnm.Print_Titles" localSheetId="19">'Mechanicalتجمعی '!$7:$7</definedName>
    <definedName name="_xlnm.Print_Titles" localSheetId="9">Piping!#REF!</definedName>
    <definedName name="_xlnm.Print_Titles" localSheetId="7">'Piping &amp; Valves تجمعی'!$7:$7</definedName>
    <definedName name="_xlnm.Print_Titles" localSheetId="32">'Spare Parts'!$7:$7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9" i="24" l="1"/>
  <c r="B9" i="24"/>
  <c r="C9" i="24"/>
  <c r="D9" i="24"/>
  <c r="E9" i="24"/>
  <c r="F9" i="24"/>
  <c r="G9" i="24"/>
  <c r="H9" i="24"/>
  <c r="I9" i="24"/>
  <c r="L9" i="24"/>
  <c r="A9" i="25"/>
  <c r="B9" i="25"/>
  <c r="C9" i="25"/>
  <c r="D9" i="25"/>
  <c r="E9" i="25"/>
  <c r="F9" i="25"/>
  <c r="G9" i="25"/>
  <c r="H9" i="25"/>
  <c r="I9" i="25"/>
  <c r="L9" i="25"/>
  <c r="A8" i="25"/>
  <c r="B8" i="25"/>
  <c r="C8" i="25"/>
  <c r="D8" i="25"/>
  <c r="E8" i="25"/>
  <c r="F8" i="25"/>
  <c r="G8" i="25"/>
  <c r="H8" i="25"/>
  <c r="I8" i="25"/>
  <c r="J8" i="25"/>
  <c r="K8" i="25"/>
  <c r="L8" i="25"/>
  <c r="G48" i="22"/>
  <c r="K47" i="22"/>
  <c r="J47" i="22"/>
  <c r="K46" i="22"/>
  <c r="J46" i="22"/>
  <c r="K45" i="22"/>
  <c r="J45" i="22"/>
  <c r="K44" i="22"/>
  <c r="J44" i="22"/>
  <c r="K43" i="22"/>
  <c r="J43" i="22"/>
  <c r="K42" i="22"/>
  <c r="K9" i="24" s="1"/>
  <c r="K10" i="24" s="1"/>
  <c r="K7" i="23" s="1"/>
  <c r="K22" i="23" s="1"/>
  <c r="J42" i="22"/>
  <c r="J9" i="24" s="1"/>
  <c r="J10" i="24" s="1"/>
  <c r="F7" i="23" s="1"/>
  <c r="F22" i="23" s="1"/>
  <c r="K41" i="22"/>
  <c r="K9" i="25" s="1"/>
  <c r="J41" i="22"/>
  <c r="J9" i="25" s="1"/>
  <c r="K40" i="22"/>
  <c r="J40" i="22"/>
  <c r="K39" i="22"/>
  <c r="J39" i="22"/>
  <c r="K38" i="22"/>
  <c r="J38" i="22"/>
  <c r="K37" i="22"/>
  <c r="J37" i="22"/>
  <c r="K36" i="22"/>
  <c r="J36" i="22"/>
  <c r="K35" i="22"/>
  <c r="J35" i="22"/>
  <c r="K34" i="22"/>
  <c r="J34" i="22"/>
  <c r="K33" i="22"/>
  <c r="J33" i="22"/>
  <c r="K32" i="22"/>
  <c r="J32" i="22"/>
  <c r="K31" i="22"/>
  <c r="J31" i="22"/>
  <c r="K30" i="22"/>
  <c r="J30" i="22"/>
  <c r="K29" i="22"/>
  <c r="J29" i="22"/>
  <c r="K28" i="22"/>
  <c r="J28" i="22"/>
  <c r="K27" i="22"/>
  <c r="J27" i="22"/>
  <c r="K26" i="22"/>
  <c r="J26" i="22"/>
  <c r="K25" i="22"/>
  <c r="J25" i="22"/>
  <c r="K24" i="22"/>
  <c r="J24" i="22"/>
  <c r="K23" i="22"/>
  <c r="J23" i="22"/>
  <c r="K22" i="22"/>
  <c r="J22" i="22"/>
  <c r="K21" i="22"/>
  <c r="J21" i="22"/>
  <c r="K20" i="22"/>
  <c r="J20" i="22"/>
  <c r="K19" i="22"/>
  <c r="J19" i="22"/>
  <c r="K18" i="22"/>
  <c r="J18" i="22"/>
  <c r="K17" i="22"/>
  <c r="J17" i="22"/>
  <c r="K16" i="22"/>
  <c r="J16" i="22"/>
  <c r="K15" i="22"/>
  <c r="J15" i="22"/>
  <c r="K14" i="22"/>
  <c r="J14" i="22"/>
  <c r="K13" i="22"/>
  <c r="J13" i="22"/>
  <c r="K12" i="22"/>
  <c r="J12" i="22"/>
  <c r="K11" i="22"/>
  <c r="J11" i="22"/>
  <c r="K10" i="22"/>
  <c r="J10" i="22"/>
  <c r="K9" i="22"/>
  <c r="J9" i="22"/>
  <c r="K8" i="22"/>
  <c r="J8" i="22"/>
  <c r="K48" i="22" l="1"/>
  <c r="J48" i="22"/>
  <c r="A10" i="15" l="1"/>
  <c r="B10" i="15"/>
  <c r="C10" i="15"/>
  <c r="D10" i="15"/>
  <c r="E10" i="15"/>
  <c r="F10" i="15"/>
  <c r="G10" i="15"/>
  <c r="H10" i="15"/>
  <c r="I10" i="15"/>
  <c r="L10" i="15"/>
  <c r="A9" i="15"/>
  <c r="B9" i="15"/>
  <c r="C9" i="15"/>
  <c r="D9" i="15"/>
  <c r="E9" i="15"/>
  <c r="F9" i="15"/>
  <c r="G9" i="15"/>
  <c r="H9" i="15"/>
  <c r="I9" i="15"/>
  <c r="L9" i="15"/>
  <c r="I11" i="18"/>
  <c r="H11" i="18"/>
  <c r="G11" i="18"/>
  <c r="F11" i="18"/>
  <c r="E11" i="18"/>
  <c r="D11" i="18"/>
  <c r="C11" i="18"/>
  <c r="B11" i="18"/>
  <c r="A11" i="18"/>
  <c r="I10" i="18"/>
  <c r="H10" i="18"/>
  <c r="G10" i="18"/>
  <c r="F10" i="18"/>
  <c r="E10" i="18"/>
  <c r="D10" i="18"/>
  <c r="C10" i="18"/>
  <c r="B10" i="18"/>
  <c r="A10" i="18"/>
  <c r="L9" i="18"/>
  <c r="I9" i="18"/>
  <c r="H9" i="18"/>
  <c r="G9" i="18"/>
  <c r="F9" i="18"/>
  <c r="E9" i="18"/>
  <c r="D9" i="18"/>
  <c r="C9" i="18"/>
  <c r="B9" i="18"/>
  <c r="A9" i="18"/>
  <c r="A9" i="17"/>
  <c r="B9" i="17"/>
  <c r="C9" i="17"/>
  <c r="D9" i="17"/>
  <c r="E9" i="17"/>
  <c r="F9" i="17"/>
  <c r="G9" i="17"/>
  <c r="H9" i="17"/>
  <c r="I9" i="17"/>
  <c r="L9" i="17"/>
  <c r="A11" i="16"/>
  <c r="B11" i="16"/>
  <c r="C11" i="16"/>
  <c r="D11" i="16"/>
  <c r="E11" i="16"/>
  <c r="F11" i="16"/>
  <c r="G11" i="16"/>
  <c r="H11" i="16"/>
  <c r="I11" i="16"/>
  <c r="L11" i="16"/>
  <c r="A12" i="16"/>
  <c r="B12" i="16"/>
  <c r="C12" i="16"/>
  <c r="D12" i="16"/>
  <c r="E12" i="16"/>
  <c r="F12" i="16"/>
  <c r="G12" i="16"/>
  <c r="H12" i="16"/>
  <c r="I12" i="16"/>
  <c r="L12" i="16"/>
  <c r="A13" i="16"/>
  <c r="B13" i="16"/>
  <c r="C13" i="16"/>
  <c r="D13" i="16"/>
  <c r="E13" i="16"/>
  <c r="F13" i="16"/>
  <c r="G13" i="16"/>
  <c r="H13" i="16"/>
  <c r="I13" i="16"/>
  <c r="A14" i="16"/>
  <c r="B14" i="16"/>
  <c r="C14" i="16"/>
  <c r="D14" i="16"/>
  <c r="E14" i="16"/>
  <c r="F14" i="16"/>
  <c r="G14" i="16"/>
  <c r="H14" i="16"/>
  <c r="I14" i="16"/>
  <c r="L14" i="16"/>
  <c r="A15" i="16"/>
  <c r="B15" i="16"/>
  <c r="C15" i="16"/>
  <c r="D15" i="16"/>
  <c r="E15" i="16"/>
  <c r="F15" i="16"/>
  <c r="G15" i="16"/>
  <c r="H15" i="16"/>
  <c r="I15" i="16"/>
  <c r="A9" i="16"/>
  <c r="B9" i="16"/>
  <c r="C9" i="16"/>
  <c r="D9" i="16"/>
  <c r="E9" i="16"/>
  <c r="F9" i="16"/>
  <c r="G9" i="16"/>
  <c r="H9" i="16"/>
  <c r="I9" i="16"/>
  <c r="L9" i="16"/>
  <c r="A10" i="16"/>
  <c r="B10" i="16"/>
  <c r="C10" i="16"/>
  <c r="D10" i="16"/>
  <c r="E10" i="16"/>
  <c r="F10" i="16"/>
  <c r="G10" i="16"/>
  <c r="H10" i="16"/>
  <c r="I10" i="16"/>
  <c r="L10" i="16"/>
  <c r="A11" i="14"/>
  <c r="B11" i="14"/>
  <c r="C11" i="14"/>
  <c r="D11" i="14"/>
  <c r="E11" i="14"/>
  <c r="F11" i="14"/>
  <c r="G11" i="14"/>
  <c r="H11" i="14"/>
  <c r="I11" i="14"/>
  <c r="L11" i="14"/>
  <c r="A12" i="14"/>
  <c r="B12" i="14"/>
  <c r="C12" i="14"/>
  <c r="D12" i="14"/>
  <c r="E12" i="14"/>
  <c r="F12" i="14"/>
  <c r="G12" i="14"/>
  <c r="H12" i="14"/>
  <c r="I12" i="14"/>
  <c r="L12" i="14"/>
  <c r="A9" i="14"/>
  <c r="B9" i="14"/>
  <c r="C9" i="14"/>
  <c r="D9" i="14"/>
  <c r="E9" i="14"/>
  <c r="F9" i="14"/>
  <c r="G9" i="14"/>
  <c r="H9" i="14"/>
  <c r="I9" i="14"/>
  <c r="L9" i="14"/>
  <c r="A10" i="14"/>
  <c r="B10" i="14"/>
  <c r="C10" i="14"/>
  <c r="D10" i="14"/>
  <c r="E10" i="14"/>
  <c r="F10" i="14"/>
  <c r="G10" i="14"/>
  <c r="H10" i="14"/>
  <c r="I10" i="14"/>
  <c r="L10" i="14"/>
  <c r="A12" i="12" l="1"/>
  <c r="B12" i="12"/>
  <c r="C12" i="12"/>
  <c r="D12" i="12"/>
  <c r="E12" i="12"/>
  <c r="F12" i="12"/>
  <c r="G12" i="12"/>
  <c r="H12" i="12"/>
  <c r="I12" i="12"/>
  <c r="L12" i="12"/>
  <c r="A13" i="12"/>
  <c r="B13" i="12"/>
  <c r="C13" i="12"/>
  <c r="D13" i="12"/>
  <c r="E13" i="12"/>
  <c r="F13" i="12"/>
  <c r="G13" i="12"/>
  <c r="H13" i="12"/>
  <c r="I13" i="12"/>
  <c r="L13" i="12"/>
  <c r="A14" i="12"/>
  <c r="B14" i="12"/>
  <c r="C14" i="12"/>
  <c r="D14" i="12"/>
  <c r="E14" i="12"/>
  <c r="F14" i="12"/>
  <c r="G14" i="12"/>
  <c r="H14" i="12"/>
  <c r="I14" i="12"/>
  <c r="A15" i="12"/>
  <c r="B15" i="12"/>
  <c r="C15" i="12"/>
  <c r="D15" i="12"/>
  <c r="E15" i="12"/>
  <c r="F15" i="12"/>
  <c r="G15" i="12"/>
  <c r="H15" i="12"/>
  <c r="I15" i="12"/>
  <c r="A16" i="12"/>
  <c r="B16" i="12"/>
  <c r="C16" i="12"/>
  <c r="D16" i="12"/>
  <c r="E16" i="12"/>
  <c r="F16" i="12"/>
  <c r="G16" i="12"/>
  <c r="H16" i="12"/>
  <c r="I16" i="12"/>
  <c r="L16" i="12"/>
  <c r="A17" i="12"/>
  <c r="B17" i="12"/>
  <c r="C17" i="12"/>
  <c r="D17" i="12"/>
  <c r="E17" i="12"/>
  <c r="F17" i="12"/>
  <c r="G17" i="12"/>
  <c r="H17" i="12"/>
  <c r="I17" i="12"/>
  <c r="L17" i="12"/>
  <c r="A18" i="12"/>
  <c r="B18" i="12"/>
  <c r="C18" i="12"/>
  <c r="D18" i="12"/>
  <c r="E18" i="12"/>
  <c r="F18" i="12"/>
  <c r="G18" i="12"/>
  <c r="H18" i="12"/>
  <c r="I18" i="12"/>
  <c r="A9" i="12"/>
  <c r="B9" i="12"/>
  <c r="C9" i="12"/>
  <c r="D9" i="12"/>
  <c r="E9" i="12"/>
  <c r="F9" i="12"/>
  <c r="G9" i="12"/>
  <c r="H9" i="12"/>
  <c r="I9" i="12"/>
  <c r="L9" i="12"/>
  <c r="A10" i="12"/>
  <c r="B10" i="12"/>
  <c r="C10" i="12"/>
  <c r="D10" i="12"/>
  <c r="E10" i="12"/>
  <c r="F10" i="12"/>
  <c r="G10" i="12"/>
  <c r="H10" i="12"/>
  <c r="I10" i="12"/>
  <c r="L10" i="12"/>
  <c r="A11" i="12"/>
  <c r="B11" i="12"/>
  <c r="C11" i="12"/>
  <c r="D11" i="12"/>
  <c r="E11" i="12"/>
  <c r="F11" i="12"/>
  <c r="G11" i="12"/>
  <c r="H11" i="12"/>
  <c r="I11" i="12"/>
  <c r="L11" i="12"/>
  <c r="A14" i="13"/>
  <c r="B14" i="13"/>
  <c r="C14" i="13"/>
  <c r="D14" i="13"/>
  <c r="E14" i="13"/>
  <c r="F14" i="13"/>
  <c r="G14" i="13"/>
  <c r="H14" i="13"/>
  <c r="I14" i="13"/>
  <c r="L14" i="13"/>
  <c r="A15" i="13"/>
  <c r="B15" i="13"/>
  <c r="C15" i="13"/>
  <c r="D15" i="13"/>
  <c r="E15" i="13"/>
  <c r="F15" i="13"/>
  <c r="G15" i="13"/>
  <c r="H15" i="13"/>
  <c r="I15" i="13"/>
  <c r="A16" i="13"/>
  <c r="B16" i="13"/>
  <c r="C16" i="13"/>
  <c r="D16" i="13"/>
  <c r="E16" i="13"/>
  <c r="F16" i="13"/>
  <c r="G16" i="13"/>
  <c r="H16" i="13"/>
  <c r="I16" i="13"/>
  <c r="A17" i="13"/>
  <c r="B17" i="13"/>
  <c r="C17" i="13"/>
  <c r="D17" i="13"/>
  <c r="E17" i="13"/>
  <c r="F17" i="13"/>
  <c r="G17" i="13"/>
  <c r="H17" i="13"/>
  <c r="I17" i="13"/>
  <c r="A18" i="13"/>
  <c r="B18" i="13"/>
  <c r="C18" i="13"/>
  <c r="D18" i="13"/>
  <c r="E18" i="13"/>
  <c r="F18" i="13"/>
  <c r="G18" i="13"/>
  <c r="H18" i="13"/>
  <c r="I18" i="13"/>
  <c r="A19" i="13"/>
  <c r="B19" i="13"/>
  <c r="C19" i="13"/>
  <c r="D19" i="13"/>
  <c r="E19" i="13"/>
  <c r="F19" i="13"/>
  <c r="G19" i="13"/>
  <c r="H19" i="13"/>
  <c r="I19" i="13"/>
  <c r="L19" i="13"/>
  <c r="A20" i="13"/>
  <c r="B20" i="13"/>
  <c r="C20" i="13"/>
  <c r="D20" i="13"/>
  <c r="E20" i="13"/>
  <c r="F20" i="13"/>
  <c r="G20" i="13"/>
  <c r="H20" i="13"/>
  <c r="I20" i="13"/>
  <c r="A21" i="13"/>
  <c r="B21" i="13"/>
  <c r="C21" i="13"/>
  <c r="D21" i="13"/>
  <c r="E21" i="13"/>
  <c r="F21" i="13"/>
  <c r="G21" i="13"/>
  <c r="H21" i="13"/>
  <c r="I21" i="13"/>
  <c r="L21" i="13"/>
  <c r="A22" i="13"/>
  <c r="B22" i="13"/>
  <c r="C22" i="13"/>
  <c r="D22" i="13"/>
  <c r="E22" i="13"/>
  <c r="F22" i="13"/>
  <c r="G22" i="13"/>
  <c r="H22" i="13"/>
  <c r="I22" i="13"/>
  <c r="A9" i="13"/>
  <c r="B9" i="13"/>
  <c r="C9" i="13"/>
  <c r="D9" i="13"/>
  <c r="E9" i="13"/>
  <c r="F9" i="13"/>
  <c r="G9" i="13"/>
  <c r="H9" i="13"/>
  <c r="I9" i="13"/>
  <c r="L9" i="13"/>
  <c r="A10" i="13"/>
  <c r="B10" i="13"/>
  <c r="C10" i="13"/>
  <c r="D10" i="13"/>
  <c r="E10" i="13"/>
  <c r="F10" i="13"/>
  <c r="G10" i="13"/>
  <c r="H10" i="13"/>
  <c r="I10" i="13"/>
  <c r="A11" i="13"/>
  <c r="B11" i="13"/>
  <c r="C11" i="13"/>
  <c r="D11" i="13"/>
  <c r="E11" i="13"/>
  <c r="F11" i="13"/>
  <c r="G11" i="13"/>
  <c r="H11" i="13"/>
  <c r="I11" i="13"/>
  <c r="L11" i="13"/>
  <c r="A12" i="13"/>
  <c r="B12" i="13"/>
  <c r="C12" i="13"/>
  <c r="D12" i="13"/>
  <c r="E12" i="13"/>
  <c r="F12" i="13"/>
  <c r="G12" i="13"/>
  <c r="H12" i="13"/>
  <c r="I12" i="13"/>
  <c r="L12" i="13"/>
  <c r="A13" i="13"/>
  <c r="B13" i="13"/>
  <c r="C13" i="13"/>
  <c r="D13" i="13"/>
  <c r="E13" i="13"/>
  <c r="F13" i="13"/>
  <c r="G13" i="13"/>
  <c r="H13" i="13"/>
  <c r="I13" i="13"/>
  <c r="L13" i="13"/>
  <c r="A17" i="10"/>
  <c r="B17" i="10"/>
  <c r="C17" i="10"/>
  <c r="D17" i="10"/>
  <c r="E17" i="10"/>
  <c r="F17" i="10"/>
  <c r="G17" i="10"/>
  <c r="H17" i="10"/>
  <c r="I17" i="10"/>
  <c r="L17" i="10"/>
  <c r="A18" i="10"/>
  <c r="B18" i="10"/>
  <c r="C18" i="10"/>
  <c r="D18" i="10"/>
  <c r="E18" i="10"/>
  <c r="F18" i="10"/>
  <c r="G18" i="10"/>
  <c r="H18" i="10"/>
  <c r="I18" i="10"/>
  <c r="A19" i="10"/>
  <c r="B19" i="10"/>
  <c r="C19" i="10"/>
  <c r="D19" i="10"/>
  <c r="E19" i="10"/>
  <c r="F19" i="10"/>
  <c r="G19" i="10"/>
  <c r="H19" i="10"/>
  <c r="I19" i="10"/>
  <c r="A20" i="10"/>
  <c r="B20" i="10"/>
  <c r="C20" i="10"/>
  <c r="D20" i="10"/>
  <c r="E20" i="10"/>
  <c r="F20" i="10"/>
  <c r="G20" i="10"/>
  <c r="H20" i="10"/>
  <c r="I20" i="10"/>
  <c r="A21" i="10"/>
  <c r="B21" i="10"/>
  <c r="C21" i="10"/>
  <c r="D21" i="10"/>
  <c r="E21" i="10"/>
  <c r="F21" i="10"/>
  <c r="G21" i="10"/>
  <c r="H21" i="10"/>
  <c r="I21" i="10"/>
  <c r="A22" i="10"/>
  <c r="B22" i="10"/>
  <c r="C22" i="10"/>
  <c r="D22" i="10"/>
  <c r="E22" i="10"/>
  <c r="F22" i="10"/>
  <c r="G22" i="10"/>
  <c r="H22" i="10"/>
  <c r="I22" i="10"/>
  <c r="A23" i="10"/>
  <c r="B23" i="10"/>
  <c r="C23" i="10"/>
  <c r="D23" i="10"/>
  <c r="E23" i="10"/>
  <c r="F23" i="10"/>
  <c r="G23" i="10"/>
  <c r="H23" i="10"/>
  <c r="I23" i="10"/>
  <c r="A24" i="10"/>
  <c r="B24" i="10"/>
  <c r="C24" i="10"/>
  <c r="D24" i="10"/>
  <c r="E24" i="10"/>
  <c r="F24" i="10"/>
  <c r="G24" i="10"/>
  <c r="H24" i="10"/>
  <c r="I24" i="10"/>
  <c r="L24" i="10"/>
  <c r="A25" i="10"/>
  <c r="B25" i="10"/>
  <c r="C25" i="10"/>
  <c r="D25" i="10"/>
  <c r="E25" i="10"/>
  <c r="F25" i="10"/>
  <c r="G25" i="10"/>
  <c r="H25" i="10"/>
  <c r="I25" i="10"/>
  <c r="L25" i="10"/>
  <c r="A26" i="10"/>
  <c r="B26" i="10"/>
  <c r="C26" i="10"/>
  <c r="D26" i="10"/>
  <c r="E26" i="10"/>
  <c r="F26" i="10"/>
  <c r="G26" i="10"/>
  <c r="H26" i="10"/>
  <c r="I26" i="10"/>
  <c r="A27" i="10"/>
  <c r="B27" i="10"/>
  <c r="C27" i="10"/>
  <c r="D27" i="10"/>
  <c r="E27" i="10"/>
  <c r="F27" i="10"/>
  <c r="G27" i="10"/>
  <c r="H27" i="10"/>
  <c r="I27" i="10"/>
  <c r="L27" i="10"/>
  <c r="A28" i="10"/>
  <c r="B28" i="10"/>
  <c r="C28" i="10"/>
  <c r="D28" i="10"/>
  <c r="E28" i="10"/>
  <c r="F28" i="10"/>
  <c r="G28" i="10"/>
  <c r="H28" i="10"/>
  <c r="I28" i="10"/>
  <c r="A8" i="10"/>
  <c r="B8" i="10"/>
  <c r="C8" i="10"/>
  <c r="D8" i="10"/>
  <c r="E8" i="10"/>
  <c r="F8" i="10"/>
  <c r="G8" i="10"/>
  <c r="H8" i="10"/>
  <c r="I8" i="10"/>
  <c r="J8" i="10"/>
  <c r="K8" i="10"/>
  <c r="L8" i="10"/>
  <c r="A9" i="10"/>
  <c r="B9" i="10"/>
  <c r="C9" i="10"/>
  <c r="D9" i="10"/>
  <c r="E9" i="10"/>
  <c r="F9" i="10"/>
  <c r="G9" i="10"/>
  <c r="H9" i="10"/>
  <c r="I9" i="10"/>
  <c r="L9" i="10"/>
  <c r="A10" i="10"/>
  <c r="B10" i="10"/>
  <c r="C10" i="10"/>
  <c r="D10" i="10"/>
  <c r="E10" i="10"/>
  <c r="F10" i="10"/>
  <c r="G10" i="10"/>
  <c r="H10" i="10"/>
  <c r="I10" i="10"/>
  <c r="A11" i="10"/>
  <c r="B11" i="10"/>
  <c r="C11" i="10"/>
  <c r="D11" i="10"/>
  <c r="E11" i="10"/>
  <c r="F11" i="10"/>
  <c r="G11" i="10"/>
  <c r="H11" i="10"/>
  <c r="I11" i="10"/>
  <c r="A12" i="10"/>
  <c r="B12" i="10"/>
  <c r="C12" i="10"/>
  <c r="D12" i="10"/>
  <c r="E12" i="10"/>
  <c r="F12" i="10"/>
  <c r="G12" i="10"/>
  <c r="H12" i="10"/>
  <c r="I12" i="10"/>
  <c r="A13" i="10"/>
  <c r="B13" i="10"/>
  <c r="C13" i="10"/>
  <c r="D13" i="10"/>
  <c r="E13" i="10"/>
  <c r="F13" i="10"/>
  <c r="G13" i="10"/>
  <c r="H13" i="10"/>
  <c r="I13" i="10"/>
  <c r="A14" i="10"/>
  <c r="B14" i="10"/>
  <c r="C14" i="10"/>
  <c r="D14" i="10"/>
  <c r="E14" i="10"/>
  <c r="F14" i="10"/>
  <c r="G14" i="10"/>
  <c r="H14" i="10"/>
  <c r="I14" i="10"/>
  <c r="L14" i="10"/>
  <c r="A15" i="10"/>
  <c r="B15" i="10"/>
  <c r="C15" i="10"/>
  <c r="D15" i="10"/>
  <c r="E15" i="10"/>
  <c r="F15" i="10"/>
  <c r="G15" i="10"/>
  <c r="H15" i="10"/>
  <c r="I15" i="10"/>
  <c r="L15" i="10"/>
  <c r="A16" i="10"/>
  <c r="B16" i="10"/>
  <c r="C16" i="10"/>
  <c r="D16" i="10"/>
  <c r="E16" i="10"/>
  <c r="F16" i="10"/>
  <c r="G16" i="10"/>
  <c r="H16" i="10"/>
  <c r="I16" i="10"/>
  <c r="L16" i="10"/>
  <c r="J8" i="9"/>
  <c r="J9" i="10" s="1"/>
  <c r="K8" i="9"/>
  <c r="K9" i="10" s="1"/>
  <c r="J9" i="9"/>
  <c r="J10" i="10" s="1"/>
  <c r="K9" i="9"/>
  <c r="K10" i="10" s="1"/>
  <c r="J10" i="9"/>
  <c r="J11" i="10" s="1"/>
  <c r="K10" i="9"/>
  <c r="K11" i="10" s="1"/>
  <c r="J11" i="9"/>
  <c r="J12" i="10" s="1"/>
  <c r="K11" i="9"/>
  <c r="K12" i="10" s="1"/>
  <c r="J12" i="9"/>
  <c r="J13" i="10" s="1"/>
  <c r="K12" i="9"/>
  <c r="K13" i="10" s="1"/>
  <c r="J13" i="9"/>
  <c r="J14" i="10" s="1"/>
  <c r="K13" i="9"/>
  <c r="K14" i="10" s="1"/>
  <c r="J14" i="9"/>
  <c r="J15" i="10" s="1"/>
  <c r="K14" i="9"/>
  <c r="K15" i="10" s="1"/>
  <c r="J15" i="9"/>
  <c r="J16" i="10" s="1"/>
  <c r="K15" i="9"/>
  <c r="K16" i="10" s="1"/>
  <c r="J16" i="9"/>
  <c r="J9" i="16" s="1"/>
  <c r="K16" i="9"/>
  <c r="K9" i="16" s="1"/>
  <c r="J17" i="9"/>
  <c r="J10" i="16" s="1"/>
  <c r="K17" i="9"/>
  <c r="K10" i="16" s="1"/>
  <c r="J18" i="9"/>
  <c r="J9" i="13" s="1"/>
  <c r="K18" i="9"/>
  <c r="K9" i="13" s="1"/>
  <c r="J19" i="9"/>
  <c r="J10" i="13" s="1"/>
  <c r="K19" i="9"/>
  <c r="K10" i="13" s="1"/>
  <c r="J20" i="9"/>
  <c r="J11" i="13" s="1"/>
  <c r="K20" i="9"/>
  <c r="K11" i="13" s="1"/>
  <c r="J21" i="9"/>
  <c r="J12" i="13" s="1"/>
  <c r="K21" i="9"/>
  <c r="K12" i="13" s="1"/>
  <c r="J22" i="9"/>
  <c r="J13" i="13" s="1"/>
  <c r="K22" i="9"/>
  <c r="K13" i="13" s="1"/>
  <c r="J23" i="9"/>
  <c r="J9" i="14" s="1"/>
  <c r="K23" i="9"/>
  <c r="K9" i="14" s="1"/>
  <c r="J24" i="9"/>
  <c r="J10" i="14" s="1"/>
  <c r="K24" i="9"/>
  <c r="K10" i="14" s="1"/>
  <c r="J25" i="9"/>
  <c r="J9" i="12" s="1"/>
  <c r="K25" i="9"/>
  <c r="K9" i="12" s="1"/>
  <c r="J26" i="9"/>
  <c r="J10" i="12" s="1"/>
  <c r="K26" i="9"/>
  <c r="K10" i="12" s="1"/>
  <c r="J27" i="9"/>
  <c r="J11" i="12" s="1"/>
  <c r="K27" i="9"/>
  <c r="K11" i="12" s="1"/>
  <c r="J28" i="9"/>
  <c r="J9" i="17" s="1"/>
  <c r="J10" i="17" s="1"/>
  <c r="F12" i="21" s="1"/>
  <c r="K28" i="9"/>
  <c r="K9" i="17" s="1"/>
  <c r="K10" i="17" s="1"/>
  <c r="K12" i="21" s="1"/>
  <c r="J29" i="9"/>
  <c r="J9" i="15" s="1"/>
  <c r="K29" i="9"/>
  <c r="K9" i="15" s="1"/>
  <c r="G30" i="9"/>
  <c r="J33" i="9"/>
  <c r="J17" i="10" s="1"/>
  <c r="K33" i="9"/>
  <c r="K17" i="10" s="1"/>
  <c r="J34" i="9"/>
  <c r="J18" i="10" s="1"/>
  <c r="K34" i="9"/>
  <c r="K18" i="10" s="1"/>
  <c r="J35" i="9"/>
  <c r="J19" i="10" s="1"/>
  <c r="K35" i="9"/>
  <c r="K19" i="10" s="1"/>
  <c r="J36" i="9"/>
  <c r="J20" i="10" s="1"/>
  <c r="K36" i="9"/>
  <c r="K20" i="10" s="1"/>
  <c r="J37" i="9"/>
  <c r="J21" i="10" s="1"/>
  <c r="K37" i="9"/>
  <c r="K21" i="10" s="1"/>
  <c r="J38" i="9"/>
  <c r="J22" i="10" s="1"/>
  <c r="K38" i="9"/>
  <c r="K22" i="10" s="1"/>
  <c r="J39" i="9"/>
  <c r="J23" i="10" s="1"/>
  <c r="K39" i="9"/>
  <c r="K23" i="10" s="1"/>
  <c r="J40" i="9"/>
  <c r="J24" i="10" s="1"/>
  <c r="K40" i="9"/>
  <c r="K24" i="10" s="1"/>
  <c r="J41" i="9"/>
  <c r="J25" i="10" s="1"/>
  <c r="K41" i="9"/>
  <c r="K25" i="10" s="1"/>
  <c r="J42" i="9"/>
  <c r="J26" i="10" s="1"/>
  <c r="K42" i="9"/>
  <c r="K26" i="10" s="1"/>
  <c r="J43" i="9"/>
  <c r="J27" i="10" s="1"/>
  <c r="K43" i="9"/>
  <c r="K27" i="10" s="1"/>
  <c r="J44" i="9"/>
  <c r="J28" i="10" s="1"/>
  <c r="K44" i="9"/>
  <c r="K28" i="10" s="1"/>
  <c r="J45" i="9"/>
  <c r="J11" i="16" s="1"/>
  <c r="K45" i="9"/>
  <c r="K11" i="16" s="1"/>
  <c r="J46" i="9"/>
  <c r="J12" i="16" s="1"/>
  <c r="K46" i="9"/>
  <c r="K12" i="16" s="1"/>
  <c r="J47" i="9"/>
  <c r="J13" i="16" s="1"/>
  <c r="K47" i="9"/>
  <c r="K13" i="16" s="1"/>
  <c r="J48" i="9"/>
  <c r="J14" i="16" s="1"/>
  <c r="K48" i="9"/>
  <c r="K14" i="16" s="1"/>
  <c r="J49" i="9"/>
  <c r="J15" i="16" s="1"/>
  <c r="K49" i="9"/>
  <c r="K15" i="16" s="1"/>
  <c r="J50" i="9"/>
  <c r="J14" i="13" s="1"/>
  <c r="K50" i="9"/>
  <c r="K14" i="13" s="1"/>
  <c r="J51" i="9"/>
  <c r="J15" i="13" s="1"/>
  <c r="K51" i="9"/>
  <c r="K15" i="13" s="1"/>
  <c r="J52" i="9"/>
  <c r="J16" i="13" s="1"/>
  <c r="K52" i="9"/>
  <c r="K16" i="13" s="1"/>
  <c r="J53" i="9"/>
  <c r="J17" i="13" s="1"/>
  <c r="K53" i="9"/>
  <c r="K17" i="13" s="1"/>
  <c r="J54" i="9"/>
  <c r="J18" i="13" s="1"/>
  <c r="K54" i="9"/>
  <c r="J55" i="9"/>
  <c r="J19" i="13" s="1"/>
  <c r="K55" i="9"/>
  <c r="K19" i="13" s="1"/>
  <c r="J56" i="9"/>
  <c r="J20" i="13" s="1"/>
  <c r="K56" i="9"/>
  <c r="K20" i="13" s="1"/>
  <c r="J57" i="9"/>
  <c r="J21" i="13" s="1"/>
  <c r="K57" i="9"/>
  <c r="K21" i="13" s="1"/>
  <c r="J58" i="9"/>
  <c r="J22" i="13" s="1"/>
  <c r="K58" i="9"/>
  <c r="K22" i="13" s="1"/>
  <c r="J59" i="9"/>
  <c r="J12" i="12" s="1"/>
  <c r="K59" i="9"/>
  <c r="K12" i="12" s="1"/>
  <c r="J60" i="9"/>
  <c r="J13" i="12" s="1"/>
  <c r="K60" i="9"/>
  <c r="K13" i="12" s="1"/>
  <c r="J61" i="9"/>
  <c r="J14" i="12" s="1"/>
  <c r="K61" i="9"/>
  <c r="K14" i="12" s="1"/>
  <c r="J62" i="9"/>
  <c r="J15" i="12" s="1"/>
  <c r="K62" i="9"/>
  <c r="K15" i="12" s="1"/>
  <c r="J63" i="9"/>
  <c r="J16" i="12" s="1"/>
  <c r="K63" i="9"/>
  <c r="K16" i="12" s="1"/>
  <c r="J64" i="9"/>
  <c r="J17" i="12" s="1"/>
  <c r="K64" i="9"/>
  <c r="K17" i="12" s="1"/>
  <c r="J65" i="9"/>
  <c r="J18" i="12" s="1"/>
  <c r="K65" i="9"/>
  <c r="K18" i="12" s="1"/>
  <c r="J66" i="9"/>
  <c r="J11" i="14" s="1"/>
  <c r="K66" i="9"/>
  <c r="K11" i="14" s="1"/>
  <c r="J67" i="9"/>
  <c r="J12" i="14" s="1"/>
  <c r="K67" i="9"/>
  <c r="K12" i="14" s="1"/>
  <c r="J68" i="9"/>
  <c r="J9" i="18" s="1"/>
  <c r="K68" i="9"/>
  <c r="K9" i="18" s="1"/>
  <c r="J69" i="9"/>
  <c r="J10" i="18" s="1"/>
  <c r="K69" i="9"/>
  <c r="K10" i="18" s="1"/>
  <c r="J70" i="9"/>
  <c r="J11" i="18" s="1"/>
  <c r="K70" i="9"/>
  <c r="K11" i="18" s="1"/>
  <c r="J71" i="9"/>
  <c r="J10" i="15" s="1"/>
  <c r="K71" i="9"/>
  <c r="K10" i="15" s="1"/>
  <c r="J54" i="3"/>
  <c r="K54" i="3"/>
  <c r="K49" i="3"/>
  <c r="K50" i="3"/>
  <c r="K51" i="3"/>
  <c r="K52" i="3"/>
  <c r="K53" i="3"/>
  <c r="K55" i="3"/>
  <c r="J21" i="5"/>
  <c r="K21" i="5"/>
  <c r="J22" i="5"/>
  <c r="K22" i="5"/>
  <c r="J23" i="5"/>
  <c r="K23" i="5"/>
  <c r="J24" i="5"/>
  <c r="K24" i="5"/>
  <c r="J25" i="5"/>
  <c r="K25" i="5"/>
  <c r="J26" i="5"/>
  <c r="K26" i="5"/>
  <c r="J27" i="5"/>
  <c r="K27" i="5"/>
  <c r="J28" i="5"/>
  <c r="K28" i="5"/>
  <c r="J29" i="5"/>
  <c r="K29" i="5"/>
  <c r="J30" i="5"/>
  <c r="K30" i="5"/>
  <c r="J31" i="5"/>
  <c r="K31" i="5"/>
  <c r="J32" i="5"/>
  <c r="K32" i="5"/>
  <c r="J33" i="5"/>
  <c r="K33" i="5"/>
  <c r="J34" i="5"/>
  <c r="K34" i="5"/>
  <c r="J35" i="5"/>
  <c r="K35" i="5"/>
  <c r="J36" i="5"/>
  <c r="K36" i="5"/>
  <c r="J37" i="5"/>
  <c r="K37" i="5"/>
  <c r="J38" i="5"/>
  <c r="K38" i="5"/>
  <c r="J39" i="5"/>
  <c r="K39" i="5"/>
  <c r="J40" i="5"/>
  <c r="K40" i="5"/>
  <c r="J41" i="5"/>
  <c r="K41" i="5"/>
  <c r="J42" i="5"/>
  <c r="K42" i="5"/>
  <c r="J43" i="5"/>
  <c r="K43" i="5"/>
  <c r="J44" i="5"/>
  <c r="K44" i="5"/>
  <c r="J45" i="5"/>
  <c r="K45" i="5"/>
  <c r="J46" i="5"/>
  <c r="K46" i="5"/>
  <c r="K8" i="5"/>
  <c r="J8" i="5"/>
  <c r="J9" i="5"/>
  <c r="K9" i="5"/>
  <c r="J10" i="5"/>
  <c r="K10" i="5"/>
  <c r="J11" i="5"/>
  <c r="K11" i="5"/>
  <c r="J12" i="5"/>
  <c r="K12" i="5"/>
  <c r="J13" i="5"/>
  <c r="K13" i="5"/>
  <c r="J14" i="5"/>
  <c r="K14" i="5"/>
  <c r="J15" i="5"/>
  <c r="K15" i="5"/>
  <c r="J16" i="5"/>
  <c r="K16" i="5"/>
  <c r="J17" i="5"/>
  <c r="K17" i="5"/>
  <c r="J18" i="5"/>
  <c r="K18" i="5"/>
  <c r="J19" i="5"/>
  <c r="K19" i="5"/>
  <c r="J20" i="5"/>
  <c r="K20" i="5"/>
  <c r="G47" i="5"/>
  <c r="J54" i="5"/>
  <c r="K54" i="5"/>
  <c r="J55" i="5"/>
  <c r="K55" i="5"/>
  <c r="J56" i="5"/>
  <c r="K56" i="5"/>
  <c r="N10" i="5"/>
  <c r="C23" i="1"/>
  <c r="F11" i="8"/>
  <c r="J10" i="8"/>
  <c r="I10" i="8"/>
  <c r="J9" i="8"/>
  <c r="I9" i="8"/>
  <c r="J8" i="8"/>
  <c r="I8" i="8"/>
  <c r="I11" i="8" s="1"/>
  <c r="C13" i="1" s="1"/>
  <c r="F31" i="7"/>
  <c r="J30" i="7"/>
  <c r="I30" i="7"/>
  <c r="J29" i="7"/>
  <c r="I29" i="7"/>
  <c r="J28" i="7"/>
  <c r="I28" i="7"/>
  <c r="J27" i="7"/>
  <c r="I27" i="7"/>
  <c r="J26" i="7"/>
  <c r="I26" i="7"/>
  <c r="J25" i="7"/>
  <c r="I25" i="7"/>
  <c r="J24" i="7"/>
  <c r="I24" i="7"/>
  <c r="J23" i="7"/>
  <c r="I23" i="7"/>
  <c r="J22" i="7"/>
  <c r="J31" i="7" s="1"/>
  <c r="I22" i="7"/>
  <c r="F15" i="7"/>
  <c r="J14" i="7"/>
  <c r="I14" i="7"/>
  <c r="J13" i="7"/>
  <c r="I13" i="7"/>
  <c r="J12" i="7"/>
  <c r="I12" i="7"/>
  <c r="J11" i="7"/>
  <c r="I11" i="7"/>
  <c r="J10" i="7"/>
  <c r="I10" i="7"/>
  <c r="J9" i="7"/>
  <c r="I9" i="7"/>
  <c r="J8" i="7"/>
  <c r="J15" i="7" s="1"/>
  <c r="D12" i="1" s="1"/>
  <c r="I8" i="7"/>
  <c r="I15" i="7" s="1"/>
  <c r="G40" i="6"/>
  <c r="K39" i="6"/>
  <c r="J39" i="6"/>
  <c r="K38" i="6"/>
  <c r="J38" i="6"/>
  <c r="K37" i="6"/>
  <c r="J37" i="6"/>
  <c r="K36" i="6"/>
  <c r="J36" i="6"/>
  <c r="K35" i="6"/>
  <c r="J35" i="6"/>
  <c r="K34" i="6"/>
  <c r="J34" i="6"/>
  <c r="G27" i="6"/>
  <c r="K26" i="6"/>
  <c r="J26" i="6"/>
  <c r="K25" i="6"/>
  <c r="J25" i="6"/>
  <c r="K24" i="6"/>
  <c r="J24" i="6"/>
  <c r="K23" i="6"/>
  <c r="J23" i="6"/>
  <c r="K22" i="6"/>
  <c r="J22" i="6"/>
  <c r="K21" i="6"/>
  <c r="J21" i="6"/>
  <c r="J27" i="6" s="1"/>
  <c r="G14" i="6"/>
  <c r="K13" i="6"/>
  <c r="J13" i="6"/>
  <c r="K12" i="6"/>
  <c r="J12" i="6"/>
  <c r="K11" i="6"/>
  <c r="J11" i="6"/>
  <c r="K10" i="6"/>
  <c r="J10" i="6"/>
  <c r="K9" i="6"/>
  <c r="J9" i="6"/>
  <c r="K8" i="6"/>
  <c r="J8" i="6"/>
  <c r="G117" i="5"/>
  <c r="K116" i="5"/>
  <c r="J116" i="5"/>
  <c r="K115" i="5"/>
  <c r="J115" i="5"/>
  <c r="K114" i="5"/>
  <c r="J114" i="5"/>
  <c r="G107" i="5"/>
  <c r="K106" i="5"/>
  <c r="J106" i="5"/>
  <c r="K105" i="5"/>
  <c r="J105" i="5"/>
  <c r="K104" i="5"/>
  <c r="J104" i="5"/>
  <c r="K103" i="5"/>
  <c r="J103" i="5"/>
  <c r="K102" i="5"/>
  <c r="J102" i="5"/>
  <c r="K101" i="5"/>
  <c r="J101" i="5"/>
  <c r="K100" i="5"/>
  <c r="J100" i="5"/>
  <c r="K99" i="5"/>
  <c r="J99" i="5"/>
  <c r="K98" i="5"/>
  <c r="J98" i="5"/>
  <c r="K97" i="5"/>
  <c r="J97" i="5"/>
  <c r="K96" i="5"/>
  <c r="J96" i="5"/>
  <c r="K95" i="5"/>
  <c r="J95" i="5"/>
  <c r="K94" i="5"/>
  <c r="J94" i="5"/>
  <c r="K93" i="5"/>
  <c r="J93" i="5"/>
  <c r="K92" i="5"/>
  <c r="J92" i="5"/>
  <c r="K91" i="5"/>
  <c r="J91" i="5"/>
  <c r="K90" i="5"/>
  <c r="J90" i="5"/>
  <c r="K89" i="5"/>
  <c r="J89" i="5"/>
  <c r="K88" i="5"/>
  <c r="J88" i="5"/>
  <c r="K87" i="5"/>
  <c r="J87" i="5"/>
  <c r="K86" i="5"/>
  <c r="J86" i="5"/>
  <c r="K85" i="5"/>
  <c r="J85" i="5"/>
  <c r="K84" i="5"/>
  <c r="J84" i="5"/>
  <c r="K83" i="5"/>
  <c r="J83" i="5"/>
  <c r="K82" i="5"/>
  <c r="J82" i="5"/>
  <c r="K81" i="5"/>
  <c r="J81" i="5"/>
  <c r="K80" i="5"/>
  <c r="J80" i="5"/>
  <c r="K79" i="5"/>
  <c r="J79" i="5"/>
  <c r="K78" i="5"/>
  <c r="J78" i="5"/>
  <c r="K77" i="5"/>
  <c r="J77" i="5"/>
  <c r="K76" i="5"/>
  <c r="J76" i="5"/>
  <c r="K75" i="5"/>
  <c r="J75" i="5"/>
  <c r="K74" i="5"/>
  <c r="J74" i="5"/>
  <c r="K73" i="5"/>
  <c r="J73" i="5"/>
  <c r="K72" i="5"/>
  <c r="J72" i="5"/>
  <c r="K71" i="5"/>
  <c r="J71" i="5"/>
  <c r="K70" i="5"/>
  <c r="J70" i="5"/>
  <c r="K69" i="5"/>
  <c r="J69" i="5"/>
  <c r="K68" i="5"/>
  <c r="J68" i="5"/>
  <c r="K67" i="5"/>
  <c r="J67" i="5"/>
  <c r="K66" i="5"/>
  <c r="J66" i="5"/>
  <c r="K65" i="5"/>
  <c r="J65" i="5"/>
  <c r="K64" i="5"/>
  <c r="J64" i="5"/>
  <c r="K63" i="5"/>
  <c r="J63" i="5"/>
  <c r="K62" i="5"/>
  <c r="J62" i="5"/>
  <c r="K61" i="5"/>
  <c r="J61" i="5"/>
  <c r="K60" i="5"/>
  <c r="J60" i="5"/>
  <c r="K59" i="5"/>
  <c r="J59" i="5"/>
  <c r="K58" i="5"/>
  <c r="J58" i="5"/>
  <c r="K57" i="5"/>
  <c r="J57" i="5"/>
  <c r="G56" i="4"/>
  <c r="K55" i="4"/>
  <c r="J55" i="4"/>
  <c r="K54" i="4"/>
  <c r="J54" i="4"/>
  <c r="K53" i="4"/>
  <c r="J53" i="4"/>
  <c r="G46" i="4"/>
  <c r="K42" i="4"/>
  <c r="J42" i="4"/>
  <c r="K45" i="4"/>
  <c r="J45" i="4"/>
  <c r="K44" i="4"/>
  <c r="J44" i="4"/>
  <c r="K43" i="4"/>
  <c r="J43" i="4"/>
  <c r="K41" i="4"/>
  <c r="J41" i="4"/>
  <c r="K40" i="4"/>
  <c r="J40" i="4"/>
  <c r="K39" i="4"/>
  <c r="J39" i="4"/>
  <c r="K38" i="4"/>
  <c r="J38" i="4"/>
  <c r="K37" i="4"/>
  <c r="J37" i="4"/>
  <c r="K36" i="4"/>
  <c r="J36" i="4"/>
  <c r="K35" i="4"/>
  <c r="J35" i="4"/>
  <c r="K34" i="4"/>
  <c r="J34" i="4"/>
  <c r="K33" i="4"/>
  <c r="J33" i="4"/>
  <c r="K32" i="4"/>
  <c r="J32" i="4"/>
  <c r="K31" i="4"/>
  <c r="J31" i="4"/>
  <c r="K30" i="4"/>
  <c r="K46" i="4" s="1"/>
  <c r="J30" i="4"/>
  <c r="G23" i="4"/>
  <c r="K22" i="4"/>
  <c r="J22" i="4"/>
  <c r="K21" i="4"/>
  <c r="J21" i="4"/>
  <c r="K20" i="4"/>
  <c r="J20" i="4"/>
  <c r="K19" i="4"/>
  <c r="J19" i="4"/>
  <c r="K18" i="4"/>
  <c r="J18" i="4"/>
  <c r="K17" i="4"/>
  <c r="J17" i="4"/>
  <c r="K16" i="4"/>
  <c r="J16" i="4"/>
  <c r="K15" i="4"/>
  <c r="J15" i="4"/>
  <c r="K14" i="4"/>
  <c r="J14" i="4"/>
  <c r="K13" i="4"/>
  <c r="J13" i="4"/>
  <c r="K12" i="4"/>
  <c r="J12" i="4"/>
  <c r="K11" i="4"/>
  <c r="J11" i="4"/>
  <c r="K10" i="4"/>
  <c r="J10" i="4"/>
  <c r="K9" i="4"/>
  <c r="J9" i="4"/>
  <c r="K8" i="4"/>
  <c r="J8" i="4"/>
  <c r="J23" i="4" s="1"/>
  <c r="G62" i="3"/>
  <c r="K61" i="3"/>
  <c r="J61" i="3"/>
  <c r="K60" i="3"/>
  <c r="J60" i="3"/>
  <c r="K59" i="3"/>
  <c r="J59" i="3"/>
  <c r="K58" i="3"/>
  <c r="J58" i="3"/>
  <c r="K57" i="3"/>
  <c r="J57" i="3"/>
  <c r="K56" i="3"/>
  <c r="J56" i="3"/>
  <c r="J55" i="3"/>
  <c r="J53" i="3"/>
  <c r="J52" i="3"/>
  <c r="J51" i="3"/>
  <c r="J50" i="3"/>
  <c r="J49" i="3"/>
  <c r="G42" i="3"/>
  <c r="K41" i="3"/>
  <c r="J41" i="3"/>
  <c r="K40" i="3"/>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G17" i="3"/>
  <c r="K16" i="3"/>
  <c r="J16" i="3"/>
  <c r="K15" i="3"/>
  <c r="J15" i="3"/>
  <c r="K14" i="3"/>
  <c r="J14" i="3"/>
  <c r="K13" i="3"/>
  <c r="J13" i="3"/>
  <c r="K12" i="3"/>
  <c r="J12" i="3"/>
  <c r="K11" i="3"/>
  <c r="J11" i="3"/>
  <c r="K10" i="3"/>
  <c r="J10" i="3"/>
  <c r="K9" i="3"/>
  <c r="J9" i="3"/>
  <c r="K8" i="3"/>
  <c r="J8" i="3"/>
  <c r="G71" i="2"/>
  <c r="K70" i="2"/>
  <c r="J70" i="2"/>
  <c r="K69" i="2"/>
  <c r="J69" i="2"/>
  <c r="K68" i="2"/>
  <c r="J68" i="2"/>
  <c r="K67" i="2"/>
  <c r="J67" i="2"/>
  <c r="K66" i="2"/>
  <c r="J66" i="2"/>
  <c r="K65" i="2"/>
  <c r="J65" i="2"/>
  <c r="K64" i="2"/>
  <c r="J64" i="2"/>
  <c r="K63" i="2"/>
  <c r="J63" i="2"/>
  <c r="K62" i="2"/>
  <c r="J62" i="2"/>
  <c r="K61" i="2"/>
  <c r="J61" i="2"/>
  <c r="K60" i="2"/>
  <c r="J60" i="2"/>
  <c r="K59" i="2"/>
  <c r="J59" i="2"/>
  <c r="K58" i="2"/>
  <c r="J58" i="2"/>
  <c r="K57" i="2"/>
  <c r="J57" i="2"/>
  <c r="K56" i="2"/>
  <c r="J56" i="2"/>
  <c r="K55" i="2"/>
  <c r="J55" i="2"/>
  <c r="K54" i="2"/>
  <c r="J54" i="2"/>
  <c r="K53" i="2"/>
  <c r="J53" i="2"/>
  <c r="K52" i="2"/>
  <c r="J52" i="2"/>
  <c r="K51" i="2"/>
  <c r="J51" i="2"/>
  <c r="K50" i="2"/>
  <c r="J50" i="2"/>
  <c r="K49" i="2"/>
  <c r="J49" i="2"/>
  <c r="K48" i="2"/>
  <c r="J48" i="2"/>
  <c r="K47" i="2"/>
  <c r="J47" i="2"/>
  <c r="K46" i="2"/>
  <c r="J46" i="2"/>
  <c r="K45" i="2"/>
  <c r="J45" i="2"/>
  <c r="K44" i="2"/>
  <c r="J44" i="2"/>
  <c r="K43" i="2"/>
  <c r="J43" i="2"/>
  <c r="K42" i="2"/>
  <c r="J42" i="2"/>
  <c r="K41" i="2"/>
  <c r="J41" i="2"/>
  <c r="K40" i="2"/>
  <c r="J40" i="2"/>
  <c r="K39" i="2"/>
  <c r="J39" i="2"/>
  <c r="K38" i="2"/>
  <c r="J38" i="2"/>
  <c r="K37" i="2"/>
  <c r="J37" i="2"/>
  <c r="K36" i="2"/>
  <c r="J36" i="2"/>
  <c r="K35" i="2"/>
  <c r="J35" i="2"/>
  <c r="K34" i="2"/>
  <c r="J34" i="2"/>
  <c r="K33" i="2"/>
  <c r="J33" i="2"/>
  <c r="K32" i="2"/>
  <c r="J32" i="2"/>
  <c r="G29" i="2"/>
  <c r="K28" i="2"/>
  <c r="J28" i="2"/>
  <c r="K27" i="2"/>
  <c r="J27" i="2"/>
  <c r="K26" i="2"/>
  <c r="J26" i="2"/>
  <c r="K25" i="2"/>
  <c r="J25" i="2"/>
  <c r="K24" i="2"/>
  <c r="J24" i="2"/>
  <c r="K23" i="2"/>
  <c r="J23" i="2"/>
  <c r="K22" i="2"/>
  <c r="J22" i="2"/>
  <c r="K21" i="2"/>
  <c r="J21" i="2"/>
  <c r="K20" i="2"/>
  <c r="J20" i="2"/>
  <c r="K19" i="2"/>
  <c r="J19" i="2"/>
  <c r="K18" i="2"/>
  <c r="J18" i="2"/>
  <c r="K17" i="2"/>
  <c r="J17" i="2"/>
  <c r="K16" i="2"/>
  <c r="J16" i="2"/>
  <c r="K15" i="2"/>
  <c r="J15" i="2"/>
  <c r="K14" i="2"/>
  <c r="J14" i="2"/>
  <c r="K13" i="2"/>
  <c r="J13" i="2"/>
  <c r="K12" i="2"/>
  <c r="J12" i="2"/>
  <c r="K11" i="2"/>
  <c r="J11" i="2"/>
  <c r="K10" i="2"/>
  <c r="J10" i="2"/>
  <c r="K9" i="2"/>
  <c r="J9" i="2"/>
  <c r="K8" i="2"/>
  <c r="J8" i="2"/>
  <c r="K7" i="2"/>
  <c r="J7" i="2"/>
  <c r="D23" i="1"/>
  <c r="C12" i="1"/>
  <c r="C7" i="1"/>
  <c r="K16" i="16" l="1"/>
  <c r="K10" i="21" s="1"/>
  <c r="K71" i="2"/>
  <c r="J71" i="2"/>
  <c r="K12" i="18"/>
  <c r="K13" i="21" s="1"/>
  <c r="J12" i="18"/>
  <c r="F13" i="21" s="1"/>
  <c r="K11" i="15"/>
  <c r="K14" i="21" s="1"/>
  <c r="J11" i="15"/>
  <c r="F14" i="21" s="1"/>
  <c r="J16" i="16"/>
  <c r="F10" i="21" s="1"/>
  <c r="J23" i="13"/>
  <c r="F9" i="21" s="1"/>
  <c r="K13" i="14"/>
  <c r="K11" i="21" s="1"/>
  <c r="J13" i="14"/>
  <c r="F11" i="21" s="1"/>
  <c r="K19" i="12"/>
  <c r="K8" i="21" s="1"/>
  <c r="J19" i="12"/>
  <c r="F8" i="21" s="1"/>
  <c r="K18" i="13"/>
  <c r="K23" i="13" s="1"/>
  <c r="K9" i="21" s="1"/>
  <c r="J29" i="10"/>
  <c r="F7" i="21" s="1"/>
  <c r="K29" i="10"/>
  <c r="K7" i="21" s="1"/>
  <c r="J30" i="9"/>
  <c r="K30" i="9"/>
  <c r="J11" i="8"/>
  <c r="D13" i="1" s="1"/>
  <c r="I31" i="7"/>
  <c r="K27" i="6"/>
  <c r="J40" i="6"/>
  <c r="K40" i="6"/>
  <c r="J46" i="4"/>
  <c r="K42" i="3"/>
  <c r="J17" i="3"/>
  <c r="J62" i="3"/>
  <c r="K17" i="3"/>
  <c r="K29" i="2"/>
  <c r="J29" i="2"/>
  <c r="J14" i="6"/>
  <c r="C11" i="1" s="1"/>
  <c r="K14" i="6"/>
  <c r="K23" i="4"/>
  <c r="J56" i="4"/>
  <c r="K56" i="4"/>
  <c r="K62" i="3"/>
  <c r="J42" i="3"/>
  <c r="J47" i="5"/>
  <c r="K47" i="5"/>
  <c r="J107" i="5"/>
  <c r="K117" i="5"/>
  <c r="J117" i="5"/>
  <c r="K107" i="5"/>
  <c r="D7" i="1" l="1"/>
  <c r="K15" i="21"/>
  <c r="F15" i="21"/>
  <c r="D11" i="1"/>
  <c r="C9" i="1"/>
  <c r="D8" i="1"/>
  <c r="C8" i="1"/>
  <c r="D9" i="1"/>
  <c r="D10" i="1"/>
  <c r="C10" i="1"/>
  <c r="C15" i="1" l="1"/>
  <c r="D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MEDC Consultant</author>
  </authors>
  <commentList>
    <comment ref="D10" authorId="0" shapeId="0" xr:uid="{00000000-0006-0000-0400-000001000000}">
      <text>
        <r>
          <rPr>
            <sz val="11"/>
            <color theme="1"/>
            <rFont val="Calibri"/>
            <family val="2"/>
            <scheme val="minor"/>
          </rPr>
          <t>خطای ضرب ریاضی در سند اصلی:
تعداد ۲ عدد با بهای واحد ۱,۳۱۰ یورو باید برابر با ۲,۶۲۰ یورو شود، اما در سند اصلی کارفرما بهای کل را به اشتباه عینا ۱,۳۱۰ یورو ثبت کرده است. ما این سطر را به صورت ریاضی در فرمول تراز کرده‌ایم.</t>
        </r>
      </text>
    </comment>
    <comment ref="K10" authorId="0" shapeId="0" xr:uid="{00000000-0006-0000-0400-000002000000}">
      <text>
        <r>
          <rPr>
            <sz val="11"/>
            <color theme="1"/>
            <rFont val="Calibri"/>
            <family val="2"/>
            <scheme val="minor"/>
          </rPr>
          <t xml:space="preserve">در پیمان مقدار 2 عدد هست اما قیمت  بهای کل دوعدد حساب نشده است
</t>
        </r>
      </text>
    </comment>
  </commentList>
</comments>
</file>

<file path=xl/sharedStrings.xml><?xml version="1.0" encoding="utf-8"?>
<sst xmlns="http://schemas.openxmlformats.org/spreadsheetml/2006/main" count="2696" uniqueCount="764">
  <si>
    <t>پروژه احداث خط لوله ۱۶ اینچ انتقال فرآورده رفسنجان-یزد و توسعه مراکز انتقال نفت رفسنجان و یزد به روش EPC</t>
  </si>
  <si>
    <t>جدول خلاصه برآورد تفکیکی بر اساس سرفصل‌های تخصصی پروژه (EPC Summary Table by Discipline)</t>
  </si>
  <si>
    <t>ردیف</t>
  </si>
  <si>
    <t>سرفصل پروژه (Project Discipline)</t>
  </si>
  <si>
    <t>مبلغ ریالی (Rial Part)</t>
  </si>
  <si>
    <t>مبلغ ارزی (Euro Part)</t>
  </si>
  <si>
    <t>شیت مرجع تفصیلی (Detailed Sheet Link)</t>
  </si>
  <si>
    <t>لوله‌کشی و شیرآلات (Piping &amp; Valves)</t>
  </si>
  <si>
    <t>برو به شیت Piping &amp; Valves →</t>
  </si>
  <si>
    <t>تجهیزات مکانیکال (Mechanical Equipment)</t>
  </si>
  <si>
    <t>برو به شیت Mechanical →</t>
  </si>
  <si>
    <t>تجهیزات برقی (Electrical Equipment)</t>
  </si>
  <si>
    <t>برو به شیت Electrical →</t>
  </si>
  <si>
    <t>ابزار دقیق و مخابرات (Instrumentation &amp; Telecom)</t>
  </si>
  <si>
    <t>برو به شیت Instrumentation →</t>
  </si>
  <si>
    <t>حفاظت کاتدیک (Cathodic Protection)</t>
  </si>
  <si>
    <t>برو به شیت Cathodic Protection →</t>
  </si>
  <si>
    <t>ایمنی و آتش‌نشانی (Safety &amp; Fire Fighting)</t>
  </si>
  <si>
    <t>برو به شیت Safety &amp; Fire Fighting →</t>
  </si>
  <si>
    <t>لوازم یدکی دو ساله بهره‌برداری (Spare Parts)</t>
  </si>
  <si>
    <t>برو به شیت Spare Parts →</t>
  </si>
  <si>
    <t>جمع کل ارزش پروژه (Grand Total)</t>
  </si>
  <si>
    <t>موقعیت و بخش پروژه (Location / Section)</t>
  </si>
  <si>
    <t>مبلغ ریالی سند اصلی (Rials)</t>
  </si>
  <si>
    <t>مبلغ ارزی سند اصلی (Euros)</t>
  </si>
  <si>
    <t>توضیحات تراز و مغایرت محاسباتی</t>
  </si>
  <si>
    <t>هزینه تهیه و تأمین کالا در تلمبه‌خانه رفسنجان (جدول ۱-۲)</t>
  </si>
  <si>
    <t>هزینه تهیه و تأمین کالا در تلمبه‌خانه یزد (جدول ۲-۲)</t>
  </si>
  <si>
    <t>تطابق کامل با ریز متره دیسیپلین‌ها</t>
  </si>
  <si>
    <t>هزینه تهیه و تأمین کالا خط لوله ۱۶ اینچ رفسنجان-یزد (جدول ۳-۲)</t>
  </si>
  <si>
    <t>تأمین لوازم یدکی و مواد مصرفی پیش راه‌اندازی و دو ساله (جدول ۴-۲)</t>
  </si>
  <si>
    <t>جمع محاسباتی سند اصلی (Calculated Sum with Typos)</t>
  </si>
  <si>
    <t>بخش لوله‌کشی و شیرآلات (Piping &amp; Valves)</t>
  </si>
  <si>
    <t>◀ بازگشت به داشبورد</t>
  </si>
  <si>
    <t>جدول شماره ۱-۱-۲: قیمت پیشنهادی برای خرید تجهیزات لوله‌کشی تلمبه‌خانه رفسنجان</t>
  </si>
  <si>
    <t>ردیف (Item)</t>
  </si>
  <si>
    <t>شرح تجهیزات (Description)</t>
  </si>
  <si>
    <t>سایز (Size)</t>
  </si>
  <si>
    <t>واحد (Unit)</t>
  </si>
  <si>
    <t>مقدار (Qty)</t>
  </si>
  <si>
    <t>بهای واحد ریالی (Unit Rial)</t>
  </si>
  <si>
    <t>بهای واحد ارزی (Unit Euro)</t>
  </si>
  <si>
    <t>بهای کل ریالی (Total Rial)</t>
  </si>
  <si>
    <t>بهای کل ارزی (Total Euro)</t>
  </si>
  <si>
    <t>SCH 30 - 8" Pipe</t>
  </si>
  <si>
    <t>8"</t>
  </si>
  <si>
    <t>M</t>
  </si>
  <si>
    <t>SCH 80 - 8" Pipe</t>
  </si>
  <si>
    <t>SCH 100 - 8" Pipe</t>
  </si>
  <si>
    <t>SCH 30 - 12" Pipe</t>
  </si>
  <si>
    <t>12"</t>
  </si>
  <si>
    <t>SCH STD - 16" Pipe</t>
  </si>
  <si>
    <t>16"</t>
  </si>
  <si>
    <t>PIPE HFW WELDED, API 5L GRADE X52, DOUBLE RANDOM LENGTHS OF 12 M. BEVELED END,BEVEL ENDS PER ANSI B 16.25., DIMENSIONS AND TOLERANCES TO ASME B36.10, TESTING, MARKING TO API 5L SCH 60 - 14" Pipe</t>
  </si>
  <si>
    <t>14"</t>
  </si>
  <si>
    <t>PIPE HFW WELDED, API 5L GRADE X60, DOUBLE RANDOM LENGTHS OF 12 M. BEVELED END,BEVEL ENDS PER ANSI B 16.25., DIMENSIONS AND TOLERANCES TO ASME B36.10, TESTING, MARKING TO API 5L SCH 80 - 14" Pipe</t>
  </si>
  <si>
    <t>PIPE HFW WELDED, API 5L GRADE X60, DOUBLE RANDOM LENGTHS OF 12 M. BEVELED END,BEVEL ENDS PER ANSI B 16.25., DIMENSIONS AND TOLERANCES TO ASME B36.10, TESTING, MARKING TO API 5L 25.4 mm - 14" Pipe</t>
  </si>
  <si>
    <t>GATE VALVE FLANGED, CLASS 150, RAISED FACE, SERRATED FINISH, DESIGN CODE: ASME B16.34, BOLTED BONNET, BOLTED GLAND, SOLID WEDGE, OUTSIDE SCREW &amp; YOKE, RISING STEM THROUGH HANDWHEEL, HANDWHEEL OPERATED, RENEWABLE SEAT, ANTI BLOWOUT STEM. DIMENSIONS TO ANSI B 16.10 BODY: C.S., ASTM A 216 GR. WCB 150# 6" Gate Valve</t>
  </si>
  <si>
    <t>6"</t>
  </si>
  <si>
    <t>NO</t>
  </si>
  <si>
    <t>GAT VALVE WITH POST INDICATOR FLANGED, CLASS 150, RAISED FACE, SERRATED FINISH, DESIGN CODE: ASME B16.34, BOLTED BONNET, BOLTED GLAND, SOLID WEDGE, OUTSIDE SCREW &amp; YOKE, RISING STEM THROUGH HANDWHEEL, HANDWHEEL OPERATED, RENEWABLE SEAT, ANTI BLOWOUT STEM. DIMENSIONS TO ANSI B 16.10 BODY: C.S., ASTM A 216 GR. WCB 150# 12" Gate Valve</t>
  </si>
  <si>
    <t>CHECK VALVE FLANGED, RAISED FACE, SERRATED FINISH, CLASS 150, SWING TYPE, REGULAR PATTERN, BOLTED COVER, RENEWABLE SEAT. DESIGN CODE:ASME B16.34 BODY: C.S., ASTM A 216 GR. WCB TRIM : F6 GASKET:ASBESTOS FREE MATERIAL BOLTS &amp; NUTS :ASTM A-197 GR.B7 &amp; ASTM A-194 GR.2H 150# 6" Check Valve</t>
  </si>
  <si>
    <t>CHECK VALVE FLANGED, RAISED FACE, SERRATED FINISH, CLASS 150, SWING TYPE, REGULAR PATTERN, BOLTED COVER, RENEWABLE SEAT. DESIGN CODE:ASME B16.34 BODY: C.S., ASTM A 216 GR. WCB TRIM : F6 GASKET:ASBESTOS FREE MATERIAL BOLTS &amp; NUTS :ASTM A-197 GR.B7 &amp; ASTM A-194 GR.2H 150# 12" Check Valve</t>
  </si>
  <si>
    <t>CHECK VALVE FLANGED, RAISED FACE, SMOOTH FINISH, CLASS 300, SWING TYPE, REGULAR PATTERN, BOLTED COVER, RENEWABLE SEAT. DESIGN CODE:ASME B16.34 BODY: C.S., ASTM A 216 GR. WCB TRIM : F6 GASKET:ASBESTOS FREE MATERIAL 600# 14" Check Valve</t>
  </si>
  <si>
    <t>CHECK VALVE FLANGED, RAISED FACE, SMOOTH FINISH, CLASS 900, SWING TYPE, REGULAR PATTERN, BOLTED COVER, RENEWABLE SEAT. DESIGN CODE:ASME B16.34 BODY: C.S., ASTM A 216 GR. WCB TRIM : F6 GASKET:ASBESTOS FREE MATERIAL BOLTS &amp;NUTS :ASTM A-197 GR.B7 &amp; ASTM A-194 GR.2H 900# 14" Check Valve</t>
  </si>
  <si>
    <t>CHECK VALVE FLANGED, RTJ, SMOOTH FINISH, CLASS 1500, SWING TYPE, REGULAR PATTERN, BOLTED COVER, RENEWABLE SEAT. DESIGN CODE:ASME B16.34 BODY: C.S., ASTM A 216 GR. WCB TRIM : F6 GASKET:ASBESTOS FREE MATERIAL BOLTS &amp;NUTS :ASTM A-197 GR.B7 &amp; ASTM A-194 GR.2H 1500# 14" Check Valve</t>
  </si>
  <si>
    <t>CHOCK VALVE RTJ, SERRATED FINISH, CLASS 1500 acc. To attachment 1500# 8" Chock Valve</t>
  </si>
  <si>
    <t>CHOCK VALVE FLANGED, RAISED FACE, SERRATED FINISH, CLASS 150 acc. To 150# 8" Chock Valve</t>
  </si>
  <si>
    <t>BALL VALVE FLANGED, RTJ, SERRATED FINISH, CLASS 1500. REDUCED BORE, DESIGN CODE: ASME B16.34, BOLTED BONNET, BOLTED GLAND, GEAR OPERATED, RENEWABLE SEAT, ANTI BLOWOUT STEM. BODY: C.S., ASTM A 216 GR. WCB TRIM : F6 1500# 8" Ball Valve</t>
  </si>
  <si>
    <t>BALL VALVE FLANGED, RTJ, SERRATED FINISH, CLASS 1500. REDUCED BORE, DESIGN CODE: ASME B16.34, BOLTED BONNET, BOLTED GLAND, GEAR OPERATED, RENEWABLE SEAT, ANTI BLOWOUT STEM. BODY: C.S., ASTM A 216 GR. WCB TRIM : F6 GASKET: SPIRAL WOUND, ASBESTOS FREE MATERIAL EQUIPPED 1500# 14" Ball Valve</t>
  </si>
  <si>
    <t>BALL VALVE FLANGED, RAISED FACE, SERRATED FINISH, CLASS 600. REDUCED BORE, DESIGN CODE: ASME B16.34, BOLTED BONNET, BOLTED GLAND, GEAR OPERATED, RENEWABLE SEAT, ANTI BLOWOUT STEM. BODY: C.S., ASTM A 216 GR. WCB TRIM : F6 600# 14" Ball Valve</t>
  </si>
  <si>
    <t>GLOBE VALVE CLASS 1500, FLANGED RTJ, TO ASME B16.34, BOLTED BONNET, BOLTED GLAND, OS &amp; Y, GEAR OPERATED SWIVEL PLUG TYPE DISC BODY : FCS, ASTM A 216 WCB TRIM : F6 1500# 14" GLOBE VALVE</t>
  </si>
  <si>
    <t>Bulk Piping Equipment / بالك تجهيزات لوله‌کشی تلمبه‌خانه رفسنجان (مطابق شرح خدمات پیوست ۱۰)</t>
  </si>
  <si>
    <t>Bulk</t>
  </si>
  <si>
    <t>يكقلم</t>
  </si>
  <si>
    <t>جمع کل بخش (Subtotal)</t>
  </si>
  <si>
    <t>جدول شماره ۱-۲-۲: قیمت پیشنهادی برای خرید تجهیزات لوله‌کشی تلمبه‌خانه یزد</t>
  </si>
  <si>
    <t>SCH STD - 14" Pipe</t>
  </si>
  <si>
    <t>SCH 30 - 18" Pipe</t>
  </si>
  <si>
    <t>18"</t>
  </si>
  <si>
    <t>PIPE SUBMERGED ARC WELDED., API 5L GRADE B, DOUBLE RANDOM LENGTHS OF 12 M. BEVELED ENDS PER ASME B 16.25., DIMENSIONS AND TOLERANCES TO ASME B36.10, TESTING, MARKING TO API 5L AND SPECIFICTION NO. 870063-B-00-XXX-00-101-PI-0034, BEVELED END,BEVEL ENDS PER ASME B 16.25. SCH STD - 28" Pipe</t>
  </si>
  <si>
    <t>28"</t>
  </si>
  <si>
    <t>SCH 60 - 14" Pipe</t>
  </si>
  <si>
    <t>SCH 60 - 16" Pipe</t>
  </si>
  <si>
    <t>SCH 80 - 12" Pipe</t>
  </si>
  <si>
    <t>SCH 80 - 14" Pipe</t>
  </si>
  <si>
    <t>GATE VALVE FLANGED, CLASS 150, 150# 6" Gate Valve</t>
  </si>
  <si>
    <t>GATE VALVE FLANGED, CLASS 600, 600# 14" Gate Valve</t>
  </si>
  <si>
    <t>GATE VALVE FLANGED, CLASS 600, 600# 16" Gate Valve</t>
  </si>
  <si>
    <t>GATE VALVE FLANGED, CLASS 900, 900# 6" Gate Valve</t>
  </si>
  <si>
    <t>GATE VALVE FLANGED, CLASS 900, 900# 14" Gate Valve</t>
  </si>
  <si>
    <t>CHECK VALVE FLANGED, CLASS 150, 150# 6" Check Valve</t>
  </si>
  <si>
    <t>CHECK VALVE FLANGED, CLASS 150, 150# 12" Check Valve</t>
  </si>
  <si>
    <t>CHECK VALVE FLANGED, CLASS 150, 150# 14" Check Valve</t>
  </si>
  <si>
    <t>CHECK VALVE FLANGED, CLASS 150, 150# 18" Check Valve</t>
  </si>
  <si>
    <t>CHECK VALVE FLANGED, CLASS 150, 150# 28" Check Valve</t>
  </si>
  <si>
    <t>CHECK VALVE FLANGED, CLASS 600, 600# 12" Check Valve</t>
  </si>
  <si>
    <t>CHECK VALVE FLANGED, CLASS 600, 600# 14" Check Valve</t>
  </si>
  <si>
    <t>CHECK VALVE FLANGED, CLASS 900, 900# 12" Check Valve</t>
  </si>
  <si>
    <t>CHECK VALVE FLANGED, CLASS 900, 900# 14" Check Valve</t>
  </si>
  <si>
    <t>BALL VALVE FLANGED, CLASS 150, 150# 6" Ball Valve</t>
  </si>
  <si>
    <t>BALL VALVE FLANGED, CLASS 150, 150# 18" Ball Valve</t>
  </si>
  <si>
    <t>BALL VALVE FLANGED, CLASS 150, 150# 14" Ball Valve</t>
  </si>
  <si>
    <t>BALL VALVE FLANGED, CLASS 150, 150# 28" Ball Valve</t>
  </si>
  <si>
    <t>BALL VALVE FLANGED, CLASS 600, 600# 14" Ball Valve</t>
  </si>
  <si>
    <t>BALL VALVE FLANGED, CLASS 900, 900# 12" Ball Valve</t>
  </si>
  <si>
    <t>BALL VALVE FLANGED, CLASS 900, 900# 14" Ball Valve</t>
  </si>
  <si>
    <t>CHOCK VALVE FLANGED, CLASS 900, 900# 8" Chock Valve</t>
  </si>
  <si>
    <t>CHOCK VALVE FLANGED, CLASS 150, 150# 8" Chock Valve</t>
  </si>
  <si>
    <t>EXPANSION JOINT SPOOL TYPE, 150# 14" Expansion Joint</t>
  </si>
  <si>
    <t>EXPANSION JOINT SPOOL TYPE, 150# 18" Expansion Joint</t>
  </si>
  <si>
    <t>EXPANSION JOINT SPOOL TYPE, 150# 28" Expansion Joint</t>
  </si>
  <si>
    <t>Bulk Piping Equipment / بالك تجهيزات لوله‌کشی تلمبه‌خانه یزد (مطابق شرح خدمات پیوست ۱۰)</t>
  </si>
  <si>
    <t>بخش تجهیزات مکانیکال (Mechanical Equipment)</t>
  </si>
  <si>
    <t>جدول شماره ۲-۱-۲: قیمت پیشنهادی برای خرید تجهیزات مکانیکال تلمبه‌خانه رفسنجان</t>
  </si>
  <si>
    <t>MAIN TRANSFER PUMP ELECTRICAL MP-451 /452 /453 Included:Pump,E-Motor,Mounting Plate,Coupling,H=83.5m,Q=838m3/h</t>
  </si>
  <si>
    <t>N/A</t>
  </si>
  <si>
    <t>No</t>
  </si>
  <si>
    <t>MAIN BOOSTER PUMP BP-451 A/B/C Included:Pump,E-Motor,Mounting Plate,Coupling,H=83.5m,Q=838m3/h</t>
  </si>
  <si>
    <t>16"x20" Pig Launcher Trap (S-432), Class 900#, API 5L X60 With Loading, Unloading, Jib Crane, Handling Units, automatic door TDS And Their Accessories</t>
  </si>
  <si>
    <t>16"x20"</t>
  </si>
  <si>
    <t>CORROSION INHIBITOR PACKAGE</t>
  </si>
  <si>
    <t>Overhead Manual Crane CR-451 A/B/C, 15 Ton</t>
  </si>
  <si>
    <t>15 Ton</t>
  </si>
  <si>
    <t>Overhead Manual Crane for Workshop, 5 Ton</t>
  </si>
  <si>
    <t>5 Ton</t>
  </si>
  <si>
    <t>Jib Crane, 1 Ton</t>
  </si>
  <si>
    <t>1 Ton</t>
  </si>
  <si>
    <t>Main Strainer ST-451A/B 600#</t>
  </si>
  <si>
    <t>600#</t>
  </si>
  <si>
    <t>Bulk Mechanical Equipment / بالك تجهيزات مكانيك تلمبه‌خانه رفسنجان (مطابق شرح خدمات پیوست ۱۰)</t>
  </si>
  <si>
    <t>یکقلم</t>
  </si>
  <si>
    <t>جدول شماره ۲-۲-۲: قیمت پیشنهادی برای خرید تجهیزات مکانیکال تلمبه‌خانه یزد</t>
  </si>
  <si>
    <t>MAIN TRANSFER PUMP DIESEL MP-554 H=490m,Q=633m3/h</t>
  </si>
  <si>
    <t>MAIN TRANSFER PUMP ELECTRICAL MP-551/552/553 (Testing/Commissioning by Contractor)</t>
  </si>
  <si>
    <t>MAIN BOOSTER PUMP BP-551 A/B/C H=100m,Q=633m3/h</t>
  </si>
  <si>
    <t>RE-INJECTION PUMP P-551 A/B H=92m,Q=33m3/h</t>
  </si>
  <si>
    <t>CLOSE DRAIN PUMP P-552 H=22m,Q=22m3/h</t>
  </si>
  <si>
    <t>DIRTY DRAIN PUMP P-553 H=14.3m,Q=22m3/h</t>
  </si>
  <si>
    <t>FUEL PUMP P-560 H=9m,Q=5.5m3/h</t>
  </si>
  <si>
    <t>CORROSION INHIBITOR PACKAGE PK-551</t>
  </si>
  <si>
    <t>Overhead Manual Crane CR-551 A, 15 Ton</t>
  </si>
  <si>
    <t>DRAIN TANK TK-551 CAPACITY = 20 m3</t>
  </si>
  <si>
    <t>20 m3</t>
  </si>
  <si>
    <t>DIRTY DRAIN TANK TK-552 CAPACITY = 20 m3</t>
  </si>
  <si>
    <t>FUEL TANK TK-560 CAPACITY = 30 m3</t>
  </si>
  <si>
    <t>30 m3</t>
  </si>
  <si>
    <t>Pig Receiver Trap S-551, Class 900# API 5L X60</t>
  </si>
  <si>
    <t>MAIN STRAINER 900# (STR 551/552 A/B)</t>
  </si>
  <si>
    <t>900#</t>
  </si>
  <si>
    <t>MAIN STRAINER 600# (STR 553 A/B)</t>
  </si>
  <si>
    <t>MODIFICATION OF EXISTING STORAGE TANKS TK-1501,1502,1503,503</t>
  </si>
  <si>
    <t>مقطوع</t>
  </si>
  <si>
    <t>Bulk Mechanical Equipment / بالك تجهيزات مكانیک یزد (مطابق شرح خدمات پیوست ۱۰)</t>
  </si>
  <si>
    <t>بکقلم</t>
  </si>
  <si>
    <t>جدول شماره ۲-۳-۱: قیمت پیشنهادی برای خرید اتصالات، شیرآلات و تجهیزات مکانیکال خط لوله ۱۶ اینچ رفسنجان-یزد</t>
  </si>
  <si>
    <t>HOT BEND 16" API 5L GR.X60, HFW, BE PER ASME B16.25, RADIUS: 7D, 45 DEG, WT 0.5"</t>
  </si>
  <si>
    <t>No.</t>
  </si>
  <si>
    <t>HOT BEND 16" API 5L GR.X60, HFW, BE PER ASME B16.25, RADIUS: 7D, 45 DEG, WT 0.438"</t>
  </si>
  <si>
    <t>HOT BEND 16" API 5L GR.X60, HFW, BE PER ASME B16.25, RADIUS: 7D, 45 DEG, WT 0.344"</t>
  </si>
  <si>
    <t>900# 16" SWING CHECK VALVE, BW, PUP PIECES, API 6D WITH SPEED CONTROL</t>
  </si>
  <si>
    <t>GATE VALVE 16" 900# (LBV), THROUGH CONDUIT, EXTENDED STEM, BB, BG, OS&amp;Y, GAS OVER OIL ACTUATOR POWERED BY NITROGEN BOTTLES</t>
  </si>
  <si>
    <t>INTEGRATED SOLAR PANEL W/BATTERY BACK-UP CAPABLE OF 5 DAYS AUTONOMY FOR LBV</t>
  </si>
  <si>
    <t>900# 16" BLOCK VALVE, BW, PUP PIECES, GEAR OP. WITH CONNECTION TO HYDRAULIC POWER PACKAGE</t>
  </si>
  <si>
    <t>ANCHOR FLANGE 16" 900#, ASTM 694 F60, PUP PIECES</t>
  </si>
  <si>
    <t>INSULATING JOINT 16" 900#, ASTM 694 F60, PUP PIECES</t>
  </si>
  <si>
    <t>POWER PACK UNIT: DRIVING ENGINE 4-STROKE AIR COOLED GASOLINE TYPE, HYDRAULIC PUMP GEAR TYPE</t>
  </si>
  <si>
    <t>FIELD WELD JOINT COATING: TWO-LAYER FBE SYSTEM OR SOLVENT FREE LIQUID EPOXY</t>
  </si>
  <si>
    <t>CASING PIPE 20" AS PER API 1102</t>
  </si>
  <si>
    <t>20"</t>
  </si>
  <si>
    <t>Bulk Piping &amp; Mechanical Equipment / بالك لوله‌کشی و تجهیزات مکانیکال خط لوله (مطابق شرح خدمات پیوست ۱۰)</t>
  </si>
  <si>
    <t>بخش تجهیزات برقی (Electrical Equipment)</t>
  </si>
  <si>
    <t>جدول شماره ۳-۱-۲: قیمت پیشنهادی برای خرید تجهیزات برقی تلمبه‌خانه رفسنجان</t>
  </si>
  <si>
    <t>Cable 1 x 240, 12/20KV, Solid Copper Conductor, XLPE Insulation, Lead Cover, SWA, PVC</t>
  </si>
  <si>
    <t>1 x 240</t>
  </si>
  <si>
    <t>m</t>
  </si>
  <si>
    <t>Cable 3 x 185, 12/20KV, Solid Copper Conductor, XLPE Insulation, Lead Cover, SWA, PVC</t>
  </si>
  <si>
    <t>3 x 185</t>
  </si>
  <si>
    <t>Cable 3 x 240 + 120, 0.6/1KV, Solid Copper Conductor, XLPE Insulation, Lead Cover, SWA, PVC</t>
  </si>
  <si>
    <t>3x240+120</t>
  </si>
  <si>
    <t>Cable 3 x 185, 6/10KV, Solid Copper Conductor, XLPE Insulation, Lead Cover, SWA, PVC</t>
  </si>
  <si>
    <t>Cable 1 x 185, 6/10KV, Solid Copper Conductor, XLPE Insulation, Lead Cover, SWA, PVC</t>
  </si>
  <si>
    <t>1 x 185</t>
  </si>
  <si>
    <t>Cable 3 x 120 + 70, 0.6/1KV, Solid Copper Conductor, XLPE Insulation, Lead Cover, SWA, PVC</t>
  </si>
  <si>
    <t>3x120+70</t>
  </si>
  <si>
    <t>6 kV Switchgear; Withdrawable, Vacuum type; 1600A, 25kA/1s</t>
  </si>
  <si>
    <t>6 kV</t>
  </si>
  <si>
    <t>Set</t>
  </si>
  <si>
    <t>Extended MV Switchgear, 20 kV, with 6 outgoing 630A VCB, IP-42, 25 kA</t>
  </si>
  <si>
    <t>20 kV</t>
  </si>
  <si>
    <t>MV Switchgear, 20kV, 1 incoming + 2 outgoings, 630A (VCB), IP-42, 25 kA</t>
  </si>
  <si>
    <t>Extended LV Switchgear, 0.4 KV, IP-42, 50 kA</t>
  </si>
  <si>
    <t>0.4 kV</t>
  </si>
  <si>
    <t>Power factor correction panel, 400 V, 15 kVAR, IP-42</t>
  </si>
  <si>
    <t>400 V</t>
  </si>
  <si>
    <t>Power Transformer, 20kV/6.3kV, P=12500 kVA, Z=10.5%, ONAN</t>
  </si>
  <si>
    <t>20kV/6.3kV</t>
  </si>
  <si>
    <t>set</t>
  </si>
  <si>
    <t>230 VAC UPS, dual system, 20 kVA, IP-42, with 2 x 100% battery bank</t>
  </si>
  <si>
    <t>230 VAC</t>
  </si>
  <si>
    <t>110 VDC Charger, dual system, 5 kW, IP-42, with 2 x 50% battery bank</t>
  </si>
  <si>
    <t>110 VDC</t>
  </si>
  <si>
    <t>Bulk Electrical Equipment / بالك تجهيزات برقي رفسنجان (مطابق شرح خدمات پیوست ۱۰)</t>
  </si>
  <si>
    <t>جدول شماره ۳-۲-۲: قیمت پیشنهادی برای خرید تجهیزات برقی تلمبه‌خانه یزد</t>
  </si>
  <si>
    <t>Cable 1 x 185, 6/10KV, Copper Conductor, XLPE Insulation, SWA, PVC (MEDIUM VOLTAGE)</t>
  </si>
  <si>
    <t>Cable 3 x 95, 0.6/1KV, Copper Conductor, XLPE Insulation, Lead Cover, SWA, PVC</t>
  </si>
  <si>
    <t>3 x 95</t>
  </si>
  <si>
    <t>Cable 1 x 95, 0.6/1KV, Copper Conductor, XLPE Insulation, SWA, PVC</t>
  </si>
  <si>
    <t>1 x 95</t>
  </si>
  <si>
    <t>Cable 3 x 120 + 70, 0.6/1KV, Copper Conductor, XLPE Insulation, Lead Cover, SWA, PVC</t>
  </si>
  <si>
    <t>Cable 3 x 240 + 120, 0.6/1KV, Copper Conductor, XLPE, Lead Cover, SWA, PVC</t>
  </si>
  <si>
    <t>Cable 1 x 120, 0.6/1KV, Copper Conductor, XLPE, Lead Cover, SWA, PVC</t>
  </si>
  <si>
    <t>1 x 120</t>
  </si>
  <si>
    <t>Cable 1 x 120, 12/20 KV, Copper Conductor, XLPE, Lead Cover, SWA, PVC</t>
  </si>
  <si>
    <t>MV Switchgear, 6 kV, with 2 incoming 630A VCB, 1 bus-tie 630A, 10 outgoing feeders</t>
  </si>
  <si>
    <t>Extended MV Switchgear, 6 kV, with 2 outgoing 630A (VCB), IP-42, 25 kA</t>
  </si>
  <si>
    <t>MV Switchgear, 20 KV, with 2 incoming and 6 outgoings, 630A (VCB)</t>
  </si>
  <si>
    <t>LV Switchgear, 0.4 kV, with 2 incoming 630A, IP-42, 50 kA</t>
  </si>
  <si>
    <t>Power transformer, 6 / 0.42 kV, 300 kVA</t>
  </si>
  <si>
    <t>6 / 0.42 kV</t>
  </si>
  <si>
    <t>230 VAC UPS dual system, 20 kVA, IP-42 (As per specification)</t>
  </si>
  <si>
    <t>110 VDC Charger dual system, 5 kW, IP-42 (As per specification)</t>
  </si>
  <si>
    <t>Bulk Electrical Equipment / بالك تجهيزات برقي یزد (مطابق شرح خدمات پیوست ۱۰)</t>
  </si>
  <si>
    <t>جدول شماره ۴-۳-۲: قیمت پیشنهادی برای برق‌رسانی و روشنایی ایستگاه‌های حفاظت کاتدیک خط لوله ۱۶ اینچ رفسنجان-یزد</t>
  </si>
  <si>
    <t>AAAC Aluminum Conductor Wire 20kV, for 20 km distribution line / سیم هادی آلومینیوم روکش‌دار جهت احداث خط بیست کیلوولت</t>
  </si>
  <si>
    <t>20kV</t>
  </si>
  <si>
    <t>كيلومتر</t>
  </si>
  <si>
    <t>Transformer 20/0.4kV, with 50 kVA capacity / ترانس کاهنده ۲۰ به ۰.۴ کیلوولت ایستگاه‌های حفاظت کاتدیک خط لوله</t>
  </si>
  <si>
    <t>50 kVA</t>
  </si>
  <si>
    <t>دستگاه</t>
  </si>
  <si>
    <t>Bulk Power Supply and Lighting for Pipeline Cathodic Protection Stations / مابقی ملزومات برق‌رسانی و روشنایی ایستگاه‌ها</t>
  </si>
  <si>
    <t>بخش ابزار دقیق، مخابرات و تله‌کام (Instrumentation &amp; Telecom)</t>
  </si>
  <si>
    <t>جدول شماره ۴-۱-۲: قیمت پیشنهادی برای خرید تجهیزات ابزار دقیق و مخابرات تلمبه‌خانه رفسنجان</t>
  </si>
  <si>
    <t>SET</t>
  </si>
  <si>
    <t>4"</t>
  </si>
  <si>
    <t>Restriction Orifice 316SS</t>
  </si>
  <si>
    <t>3/4"x1"</t>
  </si>
  <si>
    <t>Limit Switch for Position Indicator 24VDC Eexd IP65</t>
  </si>
  <si>
    <t>2"</t>
  </si>
  <si>
    <t>TELEPHONE SYSTEM IP base with Terminal boxes, cables, outlets</t>
  </si>
  <si>
    <t>PAGING SYSTEM Central Cabinet, Loudspeakers, cables</t>
  </si>
  <si>
    <t>CCTV SYSTEM Cameras (Ex &amp; Non-Ex), tower, NVR, Matrix switcher, color monitors</t>
  </si>
  <si>
    <t>LAN SYSTEM Server, cabinets, switches, patch panels, sockets, LAN cables</t>
  </si>
  <si>
    <t>جدول شماره ۴-۲-۲: قیمت پیشنهادی برای خرید تجهیزات ابزار دقیق و مخابرات تلمبه‌خانه یزد</t>
  </si>
  <si>
    <t>F&amp;G SYSTEM: Microprocessor based F&amp;G Control Panel w/ monitors, engineering workstations, and F&amp;G consol</t>
  </si>
  <si>
    <t>Clamp-On Ultrasonic Flow Meter / Interface &amp; Pig Detector (For Pipeline Monitoring)</t>
  </si>
  <si>
    <t>Pressure / Flow indicators (As per project data sheets)</t>
  </si>
  <si>
    <t>Flow Switch flange, 90# RF, 316SS</t>
  </si>
  <si>
    <t>90#</t>
  </si>
  <si>
    <t>Flow Switch flange, 900# RF, 316SS</t>
  </si>
  <si>
    <t>Flow Switch flange, 600# RF, 316SS</t>
  </si>
  <si>
    <t>Flow Meter Ultra Sonic inline, 16", 900# RF (For Yazd and Naeen stations)</t>
  </si>
  <si>
    <t>Flow Transmitter inline, 16", 600# RF (For Yazd and Naeen stations)</t>
  </si>
  <si>
    <t>Level Indicator with 316SS wetted parts</t>
  </si>
  <si>
    <t>Level Transmitter (Side-Side, displacer 300# RF, 316SS)</t>
  </si>
  <si>
    <t>300#</t>
  </si>
  <si>
    <t>Level Transmitter (Top mounted, displacer 300# RF, 316SS)</t>
  </si>
  <si>
    <t>Level Transmitter (direct mounted, D/P type 300# RF, 316SS)</t>
  </si>
  <si>
    <t>Level Switch (Top mounted, Float 300# RF, Length 2000mm)</t>
  </si>
  <si>
    <t>Pressure Indicator with 316SS wetted parts, IP65 with manifold</t>
  </si>
  <si>
    <t>Pressure Switch with 316SS wetted parts, Eexd IP65 with manifold</t>
  </si>
  <si>
    <t>Pressure Transmitter with 316SS wetted parts, Eexd IP65 with manifold</t>
  </si>
  <si>
    <t>Temperature Indicator with 316SS wetted parts, IP65 with thermowell</t>
  </si>
  <si>
    <t>Temperature Transmitter with 316SS wetted parts, Eexd IP65 with thermowell (For Yazd &amp; Naeen)</t>
  </si>
  <si>
    <t>Differential Pressure Switch with 316SS wetted parts, Eexd IP65</t>
  </si>
  <si>
    <t>Motor Actuated Ball Valve, Full Bore, 14", 600# RF, 316 trim, 400VAC</t>
  </si>
  <si>
    <t>Motor Actuated Ball Valve, Full Bore, 16", 600# RF, 316 trim, 400VAC</t>
  </si>
  <si>
    <t>Motor Actuated Ball Valve, Full Bore, 12", 600# RF, 316 trim, 400VAC</t>
  </si>
  <si>
    <t>Motor Actuated Ball Valve, Full Bore, 8", 600# RF, 316 trim, 400VAC</t>
  </si>
  <si>
    <t>Motor Actuated Ball Valve, Full Bore, 4", 900# RF, 316 trim, 400VAC</t>
  </si>
  <si>
    <t>Motor Actuated Ball Valve, Full Bore, 14", 900# RF/RTJ, 316 trim, 400VAC</t>
  </si>
  <si>
    <t>Motor Actuated Ball Valve, Full Bore, 12", 900# RF/RTJ, 316 trim, 400VAC</t>
  </si>
  <si>
    <t>Motor Actuated Ball Valve, Full Bore, 8", 900# RF/RTJ, 316 trim, 400VAC</t>
  </si>
  <si>
    <t>Motor Actuated Ball Valve, Full Bore, 14", 150# RF, 316 trim, 400VAC</t>
  </si>
  <si>
    <t>Motor Actuated Ball Valve, Full Bore, 18", 150# RF, 316 trim, 400VAC</t>
  </si>
  <si>
    <t>Motor Actuated Ball Valve, Full Bore, 28", 150# RF, 316 trim, 400VAC</t>
  </si>
  <si>
    <t>Motor Actuated Ball Valve, Full Bore, 16", 150# RF, 316 trim, 400VAC</t>
  </si>
  <si>
    <t>Motor Actuated Ball Valve, Full Bore, 12", 150# RF, 316 trim, 400VAC</t>
  </si>
  <si>
    <t>Motor Actuated Ball Valve, Full Bore, 8", 150# RF, 316 trim, 400VAC</t>
  </si>
  <si>
    <t>Motor Actuated Ball Valve, Full Bore, 16", 900# RF, 316 trim, 400VAC</t>
  </si>
  <si>
    <t>Density Transmitter inline, 16", 900# RF, Monel wetted parts (For Yazd and Naeen)</t>
  </si>
  <si>
    <t>Density Transmitter inline, 16", 600# RF, Monel wetted parts (For Yazd and Naeen)</t>
  </si>
  <si>
    <t>Control Valve Globe, 12", 600# RF, 316SS trim</t>
  </si>
  <si>
    <t>Control Valve Globe, 12", 900# RF/RTJ, 316SS trim</t>
  </si>
  <si>
    <t>DP Indicator 316SS wetted parts, IP65 with manifold</t>
  </si>
  <si>
    <t>Pig Detector 2", 600# RF, Eexd IP65</t>
  </si>
  <si>
    <t>Fence Valve GATE Full Bore, 16", 900#, 316SS</t>
  </si>
  <si>
    <t>Pressure Relief Valve 900x150# minimum, 316SS trim (Domestic supply)</t>
  </si>
  <si>
    <t>Temperature Relief Valve 3/4"x1" 900x150# minimum, 316SS</t>
  </si>
  <si>
    <t>PLC BASED CONTROL SYSTEM (PCS, ESD): Redundant CPUs, interconnection wiring, HMI, consol panels</t>
  </si>
  <si>
    <t>TANK GAUGING SYSTEM (TGS): Radar level transmitters, temperature transmitters, local indicators</t>
  </si>
  <si>
    <t>Bulk Instrumentation &amp; Telecom Equipment / بالك تجهيزات ابزاردقیق، مخابرات و دوربین مدار بسته یزد (پیوست ۱۰)</t>
  </si>
  <si>
    <t>جدول شماره ۳-۳-۲: قیمت پیشنهادی برای خرید تجهیزات ابزار دقیق و مخابرات خط لوله ۱۶ اینچ رفسنجان-یزد</t>
  </si>
  <si>
    <t>FIBER OPTIC CABLE Non-zero dispersion-shifted Single-Mode optical fiber 16 Fibers Core, in 3 tubes / کابل فیبر نوری مسیر خط لوله</t>
  </si>
  <si>
    <t>16 Core</t>
  </si>
  <si>
    <t>متر</t>
  </si>
  <si>
    <t>Patch Panel, Closure Box, OCDF / متعلقات فیبر نوری و کلوزر باکس‌ها</t>
  </si>
  <si>
    <t>Bulk Instrumentation &amp; Telecom Equipment / بالك ابزاردقیق و مخابرات خط لوله (مطابق شرح خدمات پیوست ۱۰)</t>
  </si>
  <si>
    <t>بخش حفاظت کاتدیک (Cathodic Protection)</t>
  </si>
  <si>
    <t>جدول شماره ۵-۱-۲: قیمت پیشنهادی برای خرید تجهیزات حفاظت کاتدیک تلمبه‌خانه رفسنجان</t>
  </si>
  <si>
    <t>Transformer Rectifier, suitable for Installation in Safe Area, Outdoor, Oil cooled, IP54, Automatic, Plinth mounting, Output: 50V/25A</t>
  </si>
  <si>
    <t>50V/25A</t>
  </si>
  <si>
    <t>Mixed Metal Oxide Anode (MMO), Wire Type, 3mm Dia, current output 27mA/m for 25 Years</t>
  </si>
  <si>
    <t>3mm Dia</t>
  </si>
  <si>
    <t>no</t>
  </si>
  <si>
    <t>Portable Reference Electrode, Cu/CuSO4 with 3m Cable 1x2.5mm2</t>
  </si>
  <si>
    <t>Petroleum Coke Breeze backfill with Max 90% Carbon content, packed in 50kg nylon packs</t>
  </si>
  <si>
    <t>kg</t>
  </si>
  <si>
    <t>Zinc Earthing Cell, 36x36x1520mm, w/ 10m Cable 1x10mm2 prepackaged with backfill</t>
  </si>
  <si>
    <t>36x36x1520</t>
  </si>
  <si>
    <t>Bulk CP Equipment / بالك حفاظت کاتدیک رفسنجان (مطابق شرح خدمات پیوست ۱۰)</t>
  </si>
  <si>
    <t>جدول شماره ۵-۲-۲: قیمت پیشنهادی برای خرید تجهیزات حفاظت کاتدیک تلمبه‌خانه یزد</t>
  </si>
  <si>
    <t>Bulk CP Equipment / بالك حفاظت کاتدیک یزد (مطابق شرح خدمات پیوست ۱۰)</t>
  </si>
  <si>
    <t>جدول شماره ۲-۳-۲: قیمت پیشنهادی برای خرید تجهیزات حفاظت کاتدیک خط لوله ۱۶ اینچ رفسنجان-یزد</t>
  </si>
  <si>
    <t>High silicon chromium bearing cast iron anode, 3*60 in, rod type, 50kg, HMWPE/PVC cable, suitably backfilled</t>
  </si>
  <si>
    <t>3*60 in</t>
  </si>
  <si>
    <t>Cast high potential magnesium anode, 32 lb, 3m HMWPE/PVC cable, backfilled (for casing &amp; valve protection)</t>
  </si>
  <si>
    <t>32 lb</t>
  </si>
  <si>
    <t>Petroleum Coke breeze backfill (Type 2) for HSCI anodes</t>
  </si>
  <si>
    <t>Kg</t>
  </si>
  <si>
    <t>Transformer rectifier, 380V AC 3-phase input, output: 50V, 50A, outdoor, IP54, oil-immersed, auto potential</t>
  </si>
  <si>
    <t>50V, 50A</t>
  </si>
  <si>
    <t>Zinc Sacrificial Anode 10 pound including core, XLPE/PVC cable 5m for Temporary CP system</t>
  </si>
  <si>
    <t>10 lb</t>
  </si>
  <si>
    <t>Bulk CP Equipment for Pipeline / مابقی تجهیزات حفاظت کاتدیک خط لوله (مطابق شرح خدمات پیوست ۱۰)</t>
  </si>
  <si>
    <t>بخش تجهیزات ایمنی و آتش‌نشانی (Safety &amp; Fire Fighting)</t>
  </si>
  <si>
    <t>جدول شماره ۶-۱-۲: قیمت پیشنهادی برای خرید تجهیزات ایمنی تلمبه‌خانه رفسنجان</t>
  </si>
  <si>
    <t>Water hydrant with valve inlet, bumper and other accessories</t>
  </si>
  <si>
    <t>Water hydrant with fixed monitor, valve inlet, bumper</t>
  </si>
  <si>
    <t>CO2 EXTINGUISHER (6 KG)</t>
  </si>
  <si>
    <t>6 KG</t>
  </si>
  <si>
    <t>CO2 EXTINGUISHER (30  KG)</t>
  </si>
  <si>
    <t>30 KG</t>
  </si>
  <si>
    <t>DRY POWDER EXTINGUISHER (12 KG)</t>
  </si>
  <si>
    <t>12 KG</t>
  </si>
  <si>
    <t>Wheeled DRY POWDER EXTINGUISHER (75 KG)</t>
  </si>
  <si>
    <t>75 KG</t>
  </si>
  <si>
    <t>Bulk Safety Equipment / بالك تجهيزات ایمنی تلمبه‌خانه رفسنجان (مطابق شرح خدمات پیوست ۱۰)</t>
  </si>
  <si>
    <t>جدول شماره ۶-۲-۲: قیمت پیشنهادی برای خرید تجهیزات ایمنی تلمبه‌خانه یزد</t>
  </si>
  <si>
    <t>CO2 EXTINGUISHER (30 KG)</t>
  </si>
  <si>
    <t>30  KG</t>
  </si>
  <si>
    <t>Inert Gas (Non-CO2 gas) Total Flooding system with local Application for Control Room</t>
  </si>
  <si>
    <t>Inert Gas (Non-CO2 gas) Total Flooding system with local Application for Diesel Generator Building</t>
  </si>
  <si>
    <t>Bulk Safety Equipment / بالك تجهيزات ایمنی یزد (مطابق شرح خدمات پیوست ۱۰)</t>
  </si>
  <si>
    <t>بخش لوازم یدکی دو ساله بهره‌برداری (Two-Year Operating Spare Parts)</t>
  </si>
  <si>
    <t>جدول شماره ۲-۴: قیمت پیشنهادی برای خرید لوازم یدکی دو ساله بهره‌برداری و مواد مصرفی پروژه</t>
  </si>
  <si>
    <t>Two-year operating spares and commissioning consumables for Rafsanjan Pump Station / لوازم یدکی و مواد مصرفی دو ساله مرکز انتقال نفت رفسنجان</t>
  </si>
  <si>
    <t>Two-year operating spares and commissioning consumables for Yazd Pump Station / لوازم یدکی و مواد مصرفی دو ساله مرکز انتقال نفت یزد</t>
  </si>
  <si>
    <t>Two-year operating spares and commissioning consumables for Pipeline / لوازم یدکی و مواد مصرفی دو ساله خط لوله ۱۶ اینچ رفسنجان-یزد</t>
  </si>
  <si>
    <t>يك قلم</t>
  </si>
  <si>
    <r>
      <t xml:space="preserve">تطابق کامل با ریز متره دیسیپلین‌ها (با احتساب ۱,۳۱۰ یورو اختلاف ابزار دقیق) </t>
    </r>
    <r>
      <rPr>
        <b/>
        <sz val="11"/>
        <color rgb="FFFF0000"/>
        <rFont val="Segoe UI"/>
        <family val="2"/>
      </rPr>
      <t>آیتم 3 درپیمان تعداد 2 عدد می بایست محاسبه می شده است اما یک عدد محاسبه شده</t>
    </r>
  </si>
  <si>
    <t>دو عدد هم در ریالی قرار گرفته هم در یورویی</t>
  </si>
  <si>
    <t>آموزش کارکنان کارفرما و بهره بردار</t>
  </si>
  <si>
    <t>داشبورد مدیریتی متریال کل پروژه بر اساس پیمان</t>
  </si>
  <si>
    <t>Project Specification , Attachment 10 ,18 and related standards.</t>
  </si>
  <si>
    <t>material, range, power supply, size, out/input signal,
 process connection, electrical connection, EEX, accuracy and other related data, shall be according to data sheet &amp; specification and Attachment 10 of Contract</t>
  </si>
  <si>
    <t>BALL Full Bore,16",150#,RF
316trim
Eexd IP65
400VAC power</t>
  </si>
  <si>
    <t>BALL Full Bore ,12",150#,RF
316trim
Eexd IP65
400VAC power</t>
  </si>
  <si>
    <t>900 x 150 # as minimum
316.S.S  trim</t>
  </si>
  <si>
    <t>3/4" x 1
900 x 150 # as minimum
316.S.S Mtr</t>
  </si>
  <si>
    <t>3/4" x 1
1500 x 150 # as minimum
316.S.S Mtr</t>
  </si>
  <si>
    <t>24 VDC , Eexd , IP65</t>
  </si>
  <si>
    <t>Telephone System With All Accessories Such As: Telephone Terminal Box, Telephone Cable, Telephone Socket Outlet, Telephone Set With Dial, Steel Conduit and etc.(Telephone sysytem shall be IP base type) shall be according to data sheet &amp; specification. and Attachment 10 of Contract</t>
  </si>
  <si>
    <t>Paging System with all accessories such as: Paging Central Cabinet, Loudspeaker (Ex. and Non Ex. type), Ceiling Loudspeaker, Volume Control, Paging Junction Box, Paging Cable, Steel Conduit  and etc. shall be according to data sheet &amp; specification. and Attachment 10 of Contract</t>
  </si>
  <si>
    <t>CCTV System With All Accessories Such As: cameras (Ex. And Non Ex.), Tower Of Cameras ,Network Video Recorder, Matrix Switcher, Color Monitor, CCTV Junction Box, CCTV Cable, Steel Conduit and etc. shall be according to data sheet &amp; specification. and Attachment 10 of Contract</t>
  </si>
  <si>
    <t>LAN System With All Accessories Such As: Server, LAN Cabinet, Core Switch, Ethernet Access Switch electrical and Optical Patch Panel, Socket, LAN cable and etc. shall be according to data sheet &amp; specification. and Attachment 10 of Contract</t>
  </si>
  <si>
    <t>یک قلم</t>
  </si>
  <si>
    <t>F&amp;G SYSTEM
F&amp;G CONTROL PANEL SHALL BE MICROPROCESSOR BASE, CONNECTED TO ESD Via HARDWIRE &amp; TO PCS Via SERIAL LINK  CONTROL PANEL SHALL HAVE MONITOR &amp; KEYBOARD AND BUZZER 
DESIGN AND SUPPLY OF F&amp;G SYSTEM SHALL BE IN ACCORDANCE WITH THE REQUIREMENTS OF PROJECT DOCUMENTS AND ATTACHMENT 10 OF CONTRACT .
* All Flame Detectors, Flammable Gas Detectors, Combined Some/Heat Detectors, Smoke Detectors, Heat Detectors (Linear and Rate of Rise), Alarm Horns, Bell Alarms, Manual Call Points, Flasher Beacons and etc for industrial area and buildings shall be included.
communication module with DCS &amp; existing F&amp;G shall be considered.
power distribution shall be installed in the back plate of one cell
Fire alarm panel HMI , F&amp;G/ESD consol
required accessories for data monitoring, data aquisition, data
communication with other systems shall be considered.
* 1 laptop computer as Engineering Work Station at least
equipped with the following specification:
1) 2 set Operator Station
2) 1 Engineering Control Workstations
- CPU equipped with latest technology and memory unit
dependent on cpu unit
CD/DVD rom drive, mouse w/ pad
- communication Ports
- Required applications and standard software w/ accepted
license</t>
  </si>
  <si>
    <t>PLC based control system dual redundant CPUs,
communication module :
a. serial link with MOV panel b. serial link with F&amp;G system
c.  FIBER OPTIC  with LDS system d. serial link with SCADA
e. serial link with MCC  f.  serial link with main DCS
contains: racks, I/O modules, Isolator/relay &amp;
interconnection wiring prepared by vendor in panels. 
SHALL BE IN ACCORDANCE WITH THE REQUIREMENTS OF PROJECT DOCUMENTS AND ATTACHMENT 10 OF CONTRACT .
1  engineering system containing for each 2 x 21" monitors, case, suitable mouse &amp; keyboard with required operating system and softwares with special access for engineering master.
2  operating system containing for each 2 x 21" monitors, case, suitable mouse &amp; keyboard with required operating system and softwares with special access for engineering master.
2 printer(Alarm/Event Printers, color printer) and other requirement according to attahment 10 of contract.
The ESD systems shall be hardwired type and shall be implemented using safety relays. Based on the plants ESD I/O 
count and simple functions for ESD system is required, No PLC type electronics will be used as ESD system.
RELAYS BASED ESD SYSTEM, CAPABLE TO HANDLE ESD I/O LIST DOCUMENT.
required accessories for data monitoring, data aquisition, data
communication with other systems shall be considered by
vendor</t>
  </si>
  <si>
    <t>material, range, power supply, size, out/input signal,
 process connection, electrical connection, EEX, accuracy and other related data, shall be according to data sheet &amp; specification  and Attachment 10 of Contract</t>
  </si>
  <si>
    <t xml:space="preserve"> flange ,  150# , RF 
316S.S wetted parts
EEXd  IP65</t>
  </si>
  <si>
    <t>flange ,1500#, RTJ
316S.S wetted parts
EEXd  IP65</t>
  </si>
  <si>
    <t xml:space="preserve"> flange , 900# , RF
316S.S wetted parts
IP65
</t>
  </si>
  <si>
    <t xml:space="preserve"> flange RTJ , 1500#  316S.S wetted parts EEXd IP65
316S.S 6000# manifold</t>
  </si>
  <si>
    <t>inline , 16" ,600# , RF
316S.S wetted parts
EEXd ,IP65</t>
  </si>
  <si>
    <t>inline , 16" ,900# , RF/RTJ
316S.S wetted parts
EEXd ,IP65</t>
  </si>
  <si>
    <t>316S.S wetted parts
IP65
316S.S 6000# manifold</t>
  </si>
  <si>
    <t>316S.S wetted parts
 EEXd ,IP65
316S.S 6000# manifold</t>
  </si>
  <si>
    <t>316S.S Matrial
 EEXd ,IP65
 1,1/2"  , 316S.S 900# TW</t>
  </si>
  <si>
    <t>BALL Full Bore ,8",150#,RF
316trim
Eexd IP65
400VAC power</t>
  </si>
  <si>
    <t>BALL Full Bore ,14",600#,RF
316trim
Eexd IP65
400VAC power</t>
  </si>
  <si>
    <t>BALL Full Bore ,14",900#,RF/RTJ
316trim
Eexd IP65
400VAC power</t>
  </si>
  <si>
    <t>BALL Full Bore ,14",1500#,RTJ
316trim
Eexd IP65
400VAC power</t>
  </si>
  <si>
    <t>BALL Full Bore ,8",900#,RF/RTJ
316trim
Eexd IP65
400VAC power</t>
  </si>
  <si>
    <t>BALL Full Bore ,8",1500#,RTJ
316trim
Eexd IP65
400VAC power</t>
  </si>
  <si>
    <t>BALL Full Bore ,4",900#,RF/RTJ
316trim
Eexd IP65
400VAC power</t>
  </si>
  <si>
    <t>BALL Full Bore full bore ,16",900#,RF/RTJ
316trim
Eexd IP65
400VAC power</t>
  </si>
  <si>
    <t>inline , 16" ,600# , RF
MONEL wetted parts
EEXd ,IP65</t>
  </si>
  <si>
    <t>inline , 16" ,900# , RF/RTJ
MONEL wetted parts
EEXd ,IP65</t>
  </si>
  <si>
    <t>Globe ,12" , 1500# RTJ
316S.S Mtr for trim
EEXd  IP65</t>
  </si>
  <si>
    <t xml:space="preserve">GATE ,16" ,Full Bore , 900# 
316S.S Mt for trim
EEXd, , On/Off , IP65
</t>
  </si>
  <si>
    <t xml:space="preserve">316 S.S . </t>
  </si>
  <si>
    <t>2" , 900# RF/RTJ
316S.S Mtr for trim
EEXd, , IP65</t>
  </si>
  <si>
    <t>عنوان</t>
  </si>
  <si>
    <t>Pipe</t>
  </si>
  <si>
    <t>Gate Valve</t>
  </si>
  <si>
    <t>Check Valve</t>
  </si>
  <si>
    <t>Chock Valve</t>
  </si>
  <si>
    <t>Ball Valve</t>
  </si>
  <si>
    <t>GLOBE VALVE</t>
  </si>
  <si>
    <t>balk</t>
  </si>
  <si>
    <t>PIPE
HFW WELDED,  API 5L GRADE B, DOUBLE RANDOM LENGTHS OF 12 M. BEVELED END,BEVEL ENDS PER ANSI B 16.25., DIMENSIONS AND TOLERANCES TO ASME B36.10, TESTING, MARKING TO API 5L AND SPECIFICTION NO. 870063-B-00-XXX-00-101-PI-0034. AND attachment 10 of contract.</t>
  </si>
  <si>
    <t>PIPE
HFW WELDED,  API 5L GRADE X52, DOUBLE RANDOM LENGTHS OF 12 M. BEVELED END,BEVEL ENDS PER ANSI B 16.25., DIMENSIONS AND TOLERANCES TO ASME B36.10, TESTING, MARKING TO API 5L AND SPECIFICTION NO. 870063-B-00-XXX-00-101-PI-0034.AND attachment 10 of contract.</t>
  </si>
  <si>
    <t>PIPE
HFW WELDED,  API 5L GRADE X60, DOUBLE RANDOM LENGTHS OF 12 M. BEVELED END,BEVEL ENDS PER ANSI B 16.25., DIMENSIONS AND TOLERANCES TO ASME B36.10, TESTING, MARKING TO API 5L AND SPECIFICTION NO. 870063-B-00-XXX-00-101-PI-0034.AND attachment 10 of contract.</t>
  </si>
  <si>
    <t xml:space="preserve">GATE  VALVE
FLANGED, CLASS 150, RAISED FACE, SERRATED FINISH, DESIGN CODE: ASME B16.34, BOLTED BONNET,  BOLTED GLAND,  SOLID WEDGE, OUTSIDE SCREW &amp; YOKE, RISING STEM THROUGH  HANDWHEEL, HANDWHEEL OPERATED, RENEWABLE SEAT, ANTI BLOWOUT STEM.
DIMENSIONS TO ANSI B 16.10
BODY: C.S., ASTM A 216 GR. WCB               
TRIM  : F6 
PACKING: SPIRAL WOUND ,ASBESTOS FREE. </t>
  </si>
  <si>
    <t xml:space="preserve">GATE  VALVE WITH POST INDICATOR
FLANGED, CLASS 150, RAISED FACE, SERRATED FINISH, DESIGN CODE: ASME B16.34, BOLTED BONNET,  BOLTED GLAND,  SOLID WEDGE, OUTSIDE SCREW &amp; YOKE, RISING STEM THROUGH  HANDWHEEL, HANDWHEEL OPERATED, RENEWABLE SEAT, ANTI BLOWOUT STEM.
DIMENSIONS TO ANSI B 16.10
BODY: C.S., ASTM A 216 GR. WCB               
TRIM  : F6 
PACKING: SPIRAL WOUND ,ASBESTOS FREE. </t>
  </si>
  <si>
    <t>CHECK VALVE
FLANGED, RAISED FACE, SERRATED FINISH, CLASS150, SWING TYPE, REGULAR PATTERN, BOLTED COVER, RENEWABLE SEAT.
DESIGN CODE:ASME B16.34
BODY: C.S., ASTM A 216 GR. WCB 
TRIM : F6
GASKET:ASBESTOS FREE MATERIAL
BOLTS &amp; NUTS :ASTM A-197 GR.B7 &amp; ASTM A-194 GR.2H</t>
  </si>
  <si>
    <t>CHECK VALVE
FLANGED, RAISED FACE, SMOOTH FINISH, CLASS 300, SWING TYPE, REGULAR PATTERN, BOLTED COVER, , RENEWABLE SEAT.
DESIGN CODE:ASME B16.34
BODY: C.S., ASTM A 216 GR. WCB 
TRIM : F6 
GASKET:ASBESTOS FREE MATERIAL
BOLTS &amp;NUTS :ASTM A-197 GR.B7 &amp; ASTM A-194 GR.2H</t>
  </si>
  <si>
    <t>CHECK VALVE
FLANGED, RAISED FACE, SMOOTH FINISH, CLASS 900, SWING TYPE, REGULAR PATTERN, BOLTED COVER, , RENEWABLE SEAT.
DESIGN CODE:ASME B16.34
BODY: C.S., ASTM A 216 GR. WCB 
TRIM : F6 
GASKET:ASBESTOS FREE MATERIAL
BOLTS &amp;NUTS :ASTM A-197 GR.B7 &amp; ASTM A-194 GR.2H</t>
  </si>
  <si>
    <t>CHECK VALVE
FLANGED, RTJ, SMOOTH FINISH, CLASS 1500, SWING TYPE, REGULAR PATTERN, BOLTED COVER, , RENEWABLE SEAT.
DESIGN CODE:ASME B16.34
BODY: C.S., ASTM A 216 GR. WCB 
TRIM : F6 
GASKET:ASBESTOS FREE MATERIAL
BOLTS &amp;NUTS :ASTM A-197 GR.B7 &amp; ASTM A-194 GR.2H</t>
  </si>
  <si>
    <t>CHOCK  VALVE
FLANGED, RTJ, SERRATED  FINISH, CLASS 1500 acc . To attachment 10 of contract.</t>
  </si>
  <si>
    <t>CHOCK  VALVE
FLANGED, RAISED FACE, SERRATED  FINISH, CLASS 150 acc . To attachment 10 of contract.</t>
  </si>
  <si>
    <t>BALL VALVE
FLANGED, RTJ, SERRATED  FINISH, CLASS 1500. REDUCED BORE, 
DESIGN CODE: ASME B16.34 , BOLTED BONNET , BOLTED GLAND, GEAR OPERATED, RENEWABLE SEAT, ANTI BLOWOUT STEM.    
BODY: C.S., ASTM A 216 GR. WCB 
TRIM  : F6
PACKING :SPIRAL WOUND,ABESTOS FREE MATERIAL
EQUIPPED WITH LIMIT SWITCH</t>
  </si>
  <si>
    <t>BALL VALVE
FLANGED, RTJ , SERRATED  FINISH, CLASS 1500. REDUCED BORE, 
DESIGN CODE: ASME B16.34 , BOLTED BONNET , BOLTED GLAND, GEAR OPERATED, RENEWABLE SEAT, ANTI BLOWOUT STEM.    
BODY: C.S., ASTM A 216 GR. WCB 
TRIM  : F6
PACKING :SPIRAL WOUND,ABESTOS FREE MATERIAL
EQUIPPED WITH LIMIT SWITCH</t>
  </si>
  <si>
    <t>BALL VALVE
FLANGED, RAISED FACE, SERRATED  FINISH, CLASS 600. REDUCED BORE, 
DESIGN CODE: ASME B16.34 , BOLTED BONNET , BOLTED GLAND, GEAR OPERATED, RENEWABLE SEAT, ANTI BLOWOUT STEM.    
BODY: C.S., ASTM A 216 GR. WCB 
TRIM  : F6
PACKING :SPIRAL WOUND,ABESTOS FREE MATERIAL
EQUIPPED WITH LIMIT SWITCH</t>
  </si>
  <si>
    <t>GLOBE  VALVE
CLASS 1500,  FLANGED RTJ, TO ASME B16.34, BOLTED BONNET, BOLTED GLAND,  OS &amp; Y, GEAR OPERATED SWIVEL PLUG TYPE DISC
BODY : FCS, ASTM A 216 WCB
TRIM   : F6
PACKING: SPIRAL WOUND ,ASBESTOS FREE</t>
  </si>
  <si>
    <t>MAIN TRANSFER PUMP ELECTRICAL MP-451 /452 /453</t>
  </si>
  <si>
    <t>MAIN BOOSTER PUMP BP-451 A/B/C</t>
  </si>
  <si>
    <t xml:space="preserve"> Pig Launcher Trap S-432</t>
  </si>
  <si>
    <t>Corrosion Inhibitor Package PK-451</t>
  </si>
  <si>
    <t xml:space="preserve"> Overhead Manual Crane CR-451 A/B/C</t>
  </si>
  <si>
    <t xml:space="preserve"> Overhead Manual Crane</t>
  </si>
  <si>
    <t>Crane</t>
  </si>
  <si>
    <t>Main Strainer ST-451A/B</t>
  </si>
  <si>
    <t xml:space="preserve">بررسی ، صحه گذاری ، تکمیل ، تست و راه اندازی پمپ های اصلی انتقال فرآورده با شماره شناسایی MP-101/102/103 که توسط کافرما تامین گردیده است به منظور استفاده و بهره برداری در تاسیسات انتقال نفت رفسنجان مطابق با الزامات و نیازمندیهای شرح خدمات پیمان </t>
  </si>
  <si>
    <t>Included:Pump,E-Motor,Mounting Plate,Coupling,H=83.5m,Q=838m3/h Accordance with project Documents and  Attachment 10 of Contract</t>
  </si>
  <si>
    <t>16”x20” Pig Launcher Trap (S-432), Class 900#, API 5L X60
With Loading, Unloading, Jib Crane, Handling Units, automatic door TDS  And Their Accessories  Accordance with project Documents and  Attachment 10 of Contract</t>
  </si>
  <si>
    <t>CORROSION INHIBITOR PACKAGE Accordance with project Documents and  Attachment 10 of Contract</t>
  </si>
  <si>
    <t>Overhead Crane, 15 Ton Accordance with project Documents and  Attachment 10 of Contract</t>
  </si>
  <si>
    <t>Overhead Crane, 5 Ton Accordance with project Documents and  Attachment 10 of Contract For Workshop</t>
  </si>
  <si>
    <t>Jib Crane, 1 Ton Accordance with project Documents and   Attachment 10 of Contract</t>
  </si>
  <si>
    <t>600# ,ACCORDING TO DATA SHEET NO. 870063-B-02-STR-00-105-ME-0204  and   Attachment 10 of Contract</t>
  </si>
  <si>
    <t>bulk</t>
  </si>
  <si>
    <t>cable</t>
  </si>
  <si>
    <t>Switchgear</t>
  </si>
  <si>
    <t>Transformer</t>
  </si>
  <si>
    <t>UPS &amp; Charger</t>
  </si>
  <si>
    <t>12/ 20KV Solid Copper Conductor Cable , XLPE Insulation , Extruded PVC Bedding ,  Lead Cover , Galvanized Steel Round Wire Armor , Hydrocarbon Resistant and Flame Retardant PVC Overall Sheath .  Accordance with project Documents and  Attachment 10 of Contract
(CU/XLPE/SWA/PVC)(MEDIUM VOLTAGE)</t>
  </si>
  <si>
    <t>12 / 2 0KV Solid Copper Conductor Cable , XLPE Insulation , Extruded PVC Bedding ,  Lead Cover , Galvanized Steel Round Wire Armor , Hydrocarbon Resistant and Flame Retardant PVC Overall Sheath . Accordance with project Documents and  Attachment 10 of Contract
(CU/XLPE/SWA/PVC)(MEDIUM VOLTAGE)</t>
  </si>
  <si>
    <t>0.6 / 1 KV Solid Copper Conductor Cable , XLPE Insulation , Extruded PVC Bedding ,  Lead Cover , Galvanized Steel Round Wire Armor , Hydrocarbon Resistant and Flame Retardant PVC Overall Sheath . Accordance with project Documents and  Attachment 10 of Contract
(CU/XLPE/SWA/PVC)(MEDIUM VOLTAGE)</t>
  </si>
  <si>
    <t>6 / 1 0KV Solid Copper Conductor Cable , XLPE Insulation , Extruded PVC Bedding ,  Lead Cover , Galvanized Steel Round Wire Armor , Hydrocarbon Resistant and Flame Retardant PVC Overall Sheath . Accordance with project Documents and  Attachment 10 of Contract
(CU/XLPE/SWA/PVC)(MEDIUM VOLTAGE)</t>
  </si>
  <si>
    <t>0.6 / 1 KV Solid Copper Conductor Cable , XLPE Insulation , Extruded PVC Bedding , Lead Cover , Galvanized Steel Round Wire Armor , Hydrocarbon Resistant and Flame Retardant PVC Overall Sheath. Accordance with project Documents and  Attachment 10 of ContractContract.(CU/XLPE/LC/SWA/PVC)</t>
  </si>
  <si>
    <t>6 kV Switchgear ; Withdrawable , Vacuum type ; 1600A, with 2 incoming &amp; 1 Bustie CB ; with multiple outgoing CB's; 2.5 mm thickness of panel ; panel rating 25 kA/ 1 Sec. ; with all protection , control &amp; monitorings ; As per Dwg. 870063-B-01-XXX-00-168-EL-0242.As per Ds.    870063-B-01-SWX-00-105-EL-0223.
As per Spec. 870063-B-00-SWX-00-101-EL-0043.and Attachment 10 of Contract</t>
  </si>
  <si>
    <t>Extended MV Switchgear, 20 kV, with 6 outgoing 630A (VCB) ,IP-42 ,25 KA ,1 cubicle .As per Spec. 870063-B-00-SWX-00-101-EL-0043. and Attachment 10 of Contract</t>
  </si>
  <si>
    <t>MV Switchgear,20kV, with 1 incoming and 2 outgoings, 630A (VCB) ,IP-42 ,25 KA ,3 cubicles .with complete measuring and protection As per Spec. 870063-B-00-SWX-00-101-EL-0043. and Attachment 10 of Contract</t>
  </si>
  <si>
    <t>Extended LV Switchgear ,0.4 KV ,with 5 outgoing 16A (MCCB + Contactor) ,24 outgoing 16A (MCCB) ,4 outgoing 25A (MCCB) ,3 outgoing 40A (MCCB) ,3 outgoing 63A (MCCB) ,IP-42 , 50 KA , 3  cubicles.As per Dwg. 870063-B-01-XXX-00-168-EL-0243.As per Ds.    870063-B-01-SWX-00-105-EL-0224.As per Spec. 870063-B-00-SWX-00-101-EL-0044. and Attachment 10 of Contract</t>
  </si>
  <si>
    <t>Power factor correction panel ,400 V ,15 kVAR , IP 42. As per Dwg. 870063-B-01-XXX-00-168-EL-0243.As per Ds.    870063-B-01-CPF-00-105-EL-0229.As per Spec. 870063-B-00-XXX-00-101-EL-0055. and Attachment 10 of Contract</t>
  </si>
  <si>
    <t>Power Transformer ; 20kV/6.3kV; P=12500  kVA ; Z=10.5%  Conservator type , ONAN(with fan Provisin) with OFF-LOAD tap-changer; with all mechanical and Electrical accessories  As per Dwg. 870063-B-02-XXX-00-168-EL-0243.As per Spec. 870063-B-00-XXX-00-101-EL-0047,,As per Ds. 870063-B-00-TFX-00-105-EL-0225.and Attachment 10 of Contract</t>
  </si>
  <si>
    <t xml:space="preserve">230 VAC UPS ,dual system ,20 kVA ,IP-42 ,
with 2 x 100% battery bank , As per Dwg. 870063-B-01-UPX-00-168-EL-0244.
As per Ds.    870063-B-01-UPX-00-105-EL-0231.
As per Spec. 870063-B-00-UPX-00-101-EL-0045. and Attachment 10 of Contract
</t>
  </si>
  <si>
    <t>110 VDC Charger ,dual system ,5 kW ,IP-42 ,with 2 x 50% battery bank          As per Dwg. 870063-B-01-UPX-00-168-EL-0245.
As per Ds.    870063-B-01-UPX-00-105-EL-0230.
As per Spec. 870063-B-00-UPX-00-101-EL-0054. and Attachment 10 of Contract</t>
  </si>
  <si>
    <t>F&amp;G SYSTEM</t>
  </si>
  <si>
    <t>PCS, ESD</t>
  </si>
  <si>
    <t xml:space="preserve">Flow Switches                    </t>
  </si>
  <si>
    <t>Flow Indicator</t>
  </si>
  <si>
    <t>Flow Transmitter</t>
  </si>
  <si>
    <t>Flow Meter Ultrasonic</t>
  </si>
  <si>
    <r>
      <t>Pressure Indicator</t>
    </r>
    <r>
      <rPr>
        <sz val="18"/>
        <color rgb="FFFF0000"/>
        <rFont val="Times New Roman"/>
        <family val="1"/>
      </rPr>
      <t xml:space="preserve">                  </t>
    </r>
  </si>
  <si>
    <t>Pressure Switch</t>
  </si>
  <si>
    <t>Pressure Transmitter</t>
  </si>
  <si>
    <t>Temperature Transmitter</t>
  </si>
  <si>
    <t>Differential Pressure Switch</t>
  </si>
  <si>
    <t>Motor Actuated Aalves</t>
  </si>
  <si>
    <t>Density Transmitter</t>
  </si>
  <si>
    <t>Control Valve</t>
  </si>
  <si>
    <t>DP Indicator</t>
  </si>
  <si>
    <t>Fence Valve</t>
  </si>
  <si>
    <t>Restriction Orifice</t>
  </si>
  <si>
    <t xml:space="preserve">Pressure Relief Valve                 </t>
  </si>
  <si>
    <t xml:space="preserve">Temperature Relief Valve           </t>
  </si>
  <si>
    <t>Limit Switch For Position Indicator</t>
  </si>
  <si>
    <t>Interface &amp; Pig Detector</t>
  </si>
  <si>
    <t>TELEPHONE SYSTEM</t>
  </si>
  <si>
    <t>PAGING SYSTEM</t>
  </si>
  <si>
    <t>CCTV SYSTEM</t>
  </si>
  <si>
    <t>LAN SYSTEM</t>
  </si>
  <si>
    <t>Transformer Rectifier, suitable for Instalation in Safe Area, Outdoor, Oil cooled, IP54, Automatic, Plinth mounting, Input:AC, 400V, 50Hz, 3Phases, Output:One Channel, 50V/25A, Generally in Accordance with IPS-M-EL-155 and IEC 60146-60076 and Attachment 10 of Contract</t>
  </si>
  <si>
    <t>Mixed Metal Oxide Anode (MMO), Wire Type, Anode Dimension: 3mm Dia, Current Output in Soil= 27mA/m (for 25 Years), Suitable for Parallel to the pipeline, Generaly accordance to ASTM B348, Grade 1 or2 and Attachment 10 of Contract</t>
  </si>
  <si>
    <t>Portable Reference Electrode, Cu/Cuso4, with 3 m Cable 1x2.5 mm2 Cu/PVC, Other Specification According to Data Sheet  and Attachment 10 of Contract</t>
  </si>
  <si>
    <t>Petroleum Coke Breeze, With Max. 90 % Carbon Contents, Packed on Min. 50 Kg Cotton or Nylon Packs,The particle sizes of backfill materials shall confirm to the following size: 100% Less than 3 mm, 90% Greater than 0.5 mm.Generally In Accordance With IPS-M-TP-750, Part 2, Coke Type 2  and Attachment 10 of Contract</t>
  </si>
  <si>
    <t>Zinc Earthing Cell, Dimension= 36x36x1520 mm (Two Zinc Electrodes), with 10m Cable 1x10 mm2 Cu/XLPE/PVC, Cables connected to Each Electrod in Factory, Prepackaged with Special Backfill  and Attachment 10 of Contract</t>
  </si>
  <si>
    <t>توضیحات پیمان</t>
  </si>
  <si>
    <t>Water hydrant  with  valve inlet ,bumper and other components according to 870063-B-01-XXX-00-101-SA-0312 and Attachment 10 of Contract</t>
  </si>
  <si>
    <t>Water hydrant with fixed monitor  with  valve inlet ,bumper and other components  according to 870063-B-01-XXX-00-101-SA-0312 and Attachment 10 of Contract</t>
  </si>
  <si>
    <t>CO2 EXTINGUISHER (6 KG)according to 870063-B-01-XXX-00-101-SA-0312 and Attachment 10 of Contract</t>
  </si>
  <si>
    <t>CO2 EXTINGUISHER (30 KG)according to 870063-B-01-XXX-00-101-SA-0312 and Attachment 10 of Contract</t>
  </si>
  <si>
    <t>DRY POWDER EXTINGUISHER (12 KG)according to 870063-B-01-XXX-00-101-SA-0312 and Attachment 10 of Contract</t>
  </si>
  <si>
    <t xml:space="preserve"> Wheeled DRY POWDER EXTINGUISHER (75 KG) according to 870063-B-01-XXX-00-101-SA-0312 and Attachment 10 of Contract</t>
  </si>
  <si>
    <t>EXPANSION JOINT</t>
  </si>
  <si>
    <t>PIPE
HFW WELDED.,  API 5L GRADE B, DOUBLE RANDOM LENGTHS OF 12 M. BEVELED ENDS PER ASME B 16.25., DIMENSIONS AND TOLERANCES TO ASME B36.10, TESTING, MARKING TO API 5L AND SPECIFICTION NO. 870063-B-00-XXX-00-101-PI-0034, BEVELED END,BEVEL ENDS PER ASME B 16.25.</t>
  </si>
  <si>
    <t>PIPE
SUBMERGED ARC WELDED.,  API 5L GRADE B, DOUBLE RANDOM LENGTHS OF 12 M. BEVELED ENDS PER ASME B 16.25., DIMENSIONS AND TOLERANCES TO ASME B36.10, TESTING, MARKING TO API 5L AND SPECIFICTION NO. 870063-B-00-XXX-00-101-PI-0034, BEVELED END,BEVEL ENDS PER ASME B 16.25.</t>
  </si>
  <si>
    <t>PIPE
HFW WELDED.,  API 5L GRADE X52, DOUBLE RANDOM LENGTHS OF 12 M. BEVELED ENDS PER ASME B 16.25., DIMENSIONS AND TOLERANCES TO ASME B36.10, TESTING, MARKING TO API 5L AND SPECIFICTION NO. 870063-B-00-XXX-00-101-PI-0034.
 BEVELED END,BEVEL ENDS PER ASME B 16.25.</t>
  </si>
  <si>
    <t>PIPE
HFW WELDED.,  API 5L GRADE X60, DOUBLE RANDOM LENGTHS OF 12 M. BEVELED ENDS PER ASME B 16.25., DIMENSIONS AND TOLERANCES TO ASME B36.10, TESTING, MARKING TO API 5L AND SPECIFICTION NO. 870063-B-00-XXX-00-101-PI-0034.
 BEVELED END,BEVEL ENDS PER ASME B 16.25.</t>
  </si>
  <si>
    <t xml:space="preserve">GATE  VALVE
FLANGED, CLASS 150, RAISED FACE, SERRATED FINISH, DESIGN CODE: ASME B16.34, BOLTED BONNET,  BOLTED GLAND,  SOLID WEDGE, OUTSIDE SCREW &amp; YOKE, RISING STEM THROUGH  HANDWHEEL, WRENCH OPERATED, RENEWABLE SEAT, ANTI BLOWOUT STEM.
DIMENSIONS TO ASME B 16.10
BODY: C.S., ASTM A 216 GR. WCB               
TRIM  : F6 
PACKING: SPIRAL WOUND ,ASBESTOS FREE. </t>
  </si>
  <si>
    <t xml:space="preserve">GATE  VALVE
FLANGED, CLASS 600, RAISED FACE, SERRATED FINISH, DESIGN CODE: ASME B16.34, BOLTED BONNET,  BOLTED GLAND,  SOLID WEDGE, OUTSIDE SCREW &amp; YOKE, RISING STEM THROUGH  HANDWHEEL,GEAR OPERATED, RENEWABLE SEAT, ANTI BLOWOUT STEM.
DIMENSIONS TO ASME B 16.10
BODY: C.S., ASTM A 216 GR. WCB               
TRIM  : F6 
PACKING: SPIRAL WOUND ,ASBESTOS FREE. </t>
  </si>
  <si>
    <t xml:space="preserve">GATE  VALVE
FLANGED, CLASS 900, RAISED FACE, SERRATED FINISH, DESIGN CODE: ASME B16.34, BOLTED BONNET,  BOLTED GLAND,  SOLID WEDGE, OUTSIDE SCREW &amp; YOKE, RISING STEM THROUGH  HANDWHEEL, GEAR OPERATED, RENEWABLE SEAT, ANTI BLOWOUT STEM.
DIMENSIONS TO ASME B 16.10
BODY: C.S., ASTM A 216 GR. WCB               
TRIM  : F6 
PACKING: SPIRAL WOUND ,ASBESTOS FREE. </t>
  </si>
  <si>
    <t>CHECK  VALVE
FLANGED, RAISED FACE, SERRATED FINISH, CLASS600, SWING TYPE, REGULAR PATTERN, BOLTED COVER, RENEWABLE SEAT.
DESIGN CODE:ASME B16.34
BODY: C.S., ASTM A 216 GR. WCB 
TRIM : F6
GASKET:ASBESTOS FREE MATERIAL
BOLTS &amp; NUTS :ASTM A-197 GR.B7 &amp; ASTM A-194 GR.2H</t>
  </si>
  <si>
    <t>BALL VALVE
FLANGED, RAISED FACE, SERRATED  FINISH, CLASS150. REDUCED BORE, TRUNNION MONTED , FIRE SAFE. SECONDARY SEAL, ANTI STATIC DEVICE,, WRENCH OPERATED. TWO PIECES DESIGN, ANTI BLOWOUT STEM, DOUBLE BLOCK &amp; BLEED.     
DESIGN CODE :ASME B16.34
BODY: C.S., ASTM A 216 GR. WCB 
TRIM  : F6 
BALL &amp; STEM : 13 % CHROME OR  C.S. + 0.003" ENP
SEAT &amp; SEAL:PTFE</t>
  </si>
  <si>
    <t>BALL  VALVE
FLANGED, RAISED FACE, SERRATED  FINISH, CLASS150. REDUCED BORE, TRUNNION MONTED , FIRE SAFE. SECONDARY SEAL, ANTI STATIC DEVICE,, GEAR OPERATED. TWO PIECES DESIGN, ANTI BLOWOUT STEM, DOUBLE BLOCK &amp; BLEED.     
DESIGN CODE :ASME B16.34
BODY: C.S., ASTM A 216 GR. WCB 
TRIM  : F6 
BALL &amp; STEM : 13 % CHROME OR  C.S. + 0.003" ENP
SEAT &amp; SEAL:PTFE</t>
  </si>
  <si>
    <t>BALL  VALVE
FLANGED, RAISED FACE, SERRATED  FINISH, CLASS 600. REDUCED BORE, TRUNNION MONTED , FIRE SAFE. SECONDARY SEAL, ANTI STATIC DEVICE, GEAR OPERATED. TWO PIECES DESIGN, ANTI BLOWOUT STEM, DOUBLE BLOCK &amp; BLEED.     
DESIGN CODE :ASME B16.34
BODY: C.S., ASTM A 216 GR. WCB 
TRIM  : F6 
BALL &amp; STEM : 13 % CHROME OR  C.S. + 0.003" ENP
SEAT &amp; SEAL:PTFE</t>
  </si>
  <si>
    <t>BALL  VALVE
FLANGED, RAISED FACE, SERRATED  FINISH, CLASS 900. REDUCED BORE, TRUNNION MONTED , FIRE SAFE. SECONDARY SEAL, ANTI STATIC DEVICE, GEAR OPERATED. TWO PIECES DESIGN, ANTI BLOWOUT STEM, DOUBLE BLOCK &amp; BLEED.     
DESIGN CODE :ASME B16.34
BODY: C.S., ASTM A 216 GR. WCB 
TRIM  : F6 
BALL &amp; STEM : 13 % CHROME OR  C.S. + 0.003" ENP
SEAT &amp; SEAL:PTFE</t>
  </si>
  <si>
    <t>CHOCK  VALVE
FLANGED, RAISED FACE, SERRATED  FINISH, CLASS 900</t>
  </si>
  <si>
    <t>CHOCK  VALVE
FLANGED, RAISED FACE, SERRATED  FINISH, CLASS 150</t>
  </si>
  <si>
    <t>EXPANSION JOINT
SPOOL TYPE, WITH NBR SYNTHETIC RUBBER AND CANVAS, OPEN ARC, COMPLETED WITH STEEL CABLE LAYERS (WIRES),
EACH EXPANSION JOINT HAS TWO FULL FLAT FACED REINFORCED RUBBER FLANGES SUPPORTED  BY STEEL BACKING PLATES AND DRILLING TO ASME B16.5 CLASS 150, WORKING PRESSURE 150 PSI  AT 85 DEG. C. VENDOR SHALL SPECIFIED ALLOWABLE AXIAL AND LATERAL MOVEMENT.</t>
  </si>
  <si>
    <t>(مطابق شرح خدمات پیوست ۱۰)</t>
  </si>
  <si>
    <t>تجهیزات لوله‌کشی تلمبه‌خانه رفسنجان</t>
  </si>
  <si>
    <t xml:space="preserve"> تجهیزات لوله‌کشی تلمبه‌خانه یزد</t>
  </si>
  <si>
    <t>unit</t>
  </si>
  <si>
    <t>تجهیزات مکانیکال تلمبه‌خانه رفسنجان</t>
  </si>
  <si>
    <t>تجهیزات مکانیکال تلمبه‌خانه یزد</t>
  </si>
  <si>
    <t>تجهیزات مکانیکال خط لوله ۱۶ اینچ رفسنجان-یزد</t>
  </si>
  <si>
    <t>Included:Pump,Diesel,Daily Fuel Tank,Mounting Plate,Coupling,H=490m,Q=633m3/h Accordance with project Documents and Attachment 10 of Contract</t>
  </si>
  <si>
    <t xml:space="preserve">بررسی ، صحه گذاری ، تکمیل ، تست و راه اندازی پمپ های اصلی انتقال فرآورده با شماره شناسایی MP-201/202/203 که توسط کافرما تامین گردیده است به منظور استفاده و بهره برداری در تاسیسات انتقال نفت یزد مطابق با الزامات و نیازمندیهای شرح خدمات پیمان </t>
  </si>
  <si>
    <t>Included:Pump,E-Motor,Mounting Plate,Coupling,H=100m,Q=633m3/h Accordance with project Documents and  Attachment 10 of Contract</t>
  </si>
  <si>
    <t>Included:Pump,E-Motor,Mounting Plate,Coupling,H=92m,Q=33m3/h Accordance with project Documents and  Attachment 10 of Contract</t>
  </si>
  <si>
    <t>Included:Pump,E-Motor,Mounting Plate,Coupling,H=22m,Q=22m3/h Accordance with project Documents and  Attachment 10 of Contract</t>
  </si>
  <si>
    <t>Included:Pump,E-Motor,Mounting Plate,Coupling,H=14.3m,Q=22m3/h Accordance with project Documents and  Attachment 10 of Contract</t>
  </si>
  <si>
    <t>Included:Pump,E-Motor,Mounting Plate,Coupling,H=9m,Q=5.5m3/h Accordance with project Documents and  Attachment 10 of Contract</t>
  </si>
  <si>
    <t>HORIZENTAL IN PIT / BURRIED TANK CAPACITY = 20 m3 Accordance with project Documents and  Attachment 10 of Contract</t>
  </si>
  <si>
    <t>HORIZENTAL IN PIT / BURRIED TANK CAPACITY = 30 m3 Accordance with project Documents and  Attachment 10 of Contract</t>
  </si>
  <si>
    <t xml:space="preserve">16”x20” Pig Receiver Trap (S-551), Class 900#, API 5L X60
With Loading, Unloading, automatic door TDS ,Jib Crane, Handling Units And Their Accessories  Accordance with project Documents and  Attachment 10 of Contract </t>
  </si>
  <si>
    <t>MAIN STRAINER 900# ( STR 551/552 A/B)
ACCORDING TO DATA SHEET NO. 870063-B-02-STR-00-105-ME-0204.  Accordance with project Documents and  Attachment 10 of Contract</t>
  </si>
  <si>
    <t>MAIN STRAINER 600# ( STR 553 A/B)
ACCORDING TO DATA SHEET NO. 870063-B-02-STR-00-105-ME-0204.  Accordance with project Documents and  Attachment 10 of Contract</t>
  </si>
  <si>
    <t>Accordance with project Documents and  Attachment 10 of Contract</t>
  </si>
  <si>
    <t>شرح تجهیزات (Description) خلاصه</t>
  </si>
  <si>
    <t xml:space="preserve"> (مطابق شرح خدمات پیوست ۱۰)</t>
  </si>
  <si>
    <t xml:space="preserve"> MAIN TRANSFER PUMP DIESEL MP-554</t>
  </si>
  <si>
    <t>MAIN TRANSFER PUMP ELECTRICAL MP-551 /552 /553</t>
  </si>
  <si>
    <t>MAIN BOOSTER PUMP BP-551 A/B/C</t>
  </si>
  <si>
    <t xml:space="preserve"> RE-INJECTION PUMP P-551 A/B</t>
  </si>
  <si>
    <t>CLOSE DRAIN PUMP P-552</t>
  </si>
  <si>
    <t>DIRTY DRAIN PUMP P-553</t>
  </si>
  <si>
    <t>FUEL PUMP P-560</t>
  </si>
  <si>
    <t>Corrosion Inhibitor Package PK-551</t>
  </si>
  <si>
    <t xml:space="preserve"> Overhead Manual Crane CR-551 A</t>
  </si>
  <si>
    <t>DRAIN TANK
TK-551</t>
  </si>
  <si>
    <t>DIRTY DRAIN TANK
TK-552</t>
  </si>
  <si>
    <t>FUEL TANK
TK-560</t>
  </si>
  <si>
    <t xml:space="preserve"> Pig Receiver Trap S-551</t>
  </si>
  <si>
    <t xml:space="preserve">Main Strainer </t>
  </si>
  <si>
    <t xml:space="preserve">HOT BEND </t>
  </si>
  <si>
    <t>CHECK VALVE</t>
  </si>
  <si>
    <t>POWER PACK UNIT</t>
  </si>
  <si>
    <t>FIELD WELD  JOINT COATING</t>
  </si>
  <si>
    <t xml:space="preserve">GATE VALVE
</t>
  </si>
  <si>
    <t>LBV</t>
  </si>
  <si>
    <r>
      <rPr>
        <i/>
        <sz val="9"/>
        <rFont val="Times New Roman"/>
        <family val="1"/>
      </rPr>
      <t>BLOCK VALVE</t>
    </r>
  </si>
  <si>
    <r>
      <rPr>
        <i/>
        <sz val="9"/>
        <rFont val="Times New Roman"/>
        <family val="1"/>
      </rPr>
      <t>ANCHOR FLANGE</t>
    </r>
  </si>
  <si>
    <r>
      <rPr>
        <i/>
        <sz val="9"/>
        <rFont val="Times New Roman"/>
        <family val="1"/>
      </rPr>
      <t>INSULATING JOINT</t>
    </r>
  </si>
  <si>
    <t>CASING PIPE</t>
  </si>
  <si>
    <t>BULK</t>
  </si>
  <si>
    <r>
      <rPr>
        <i/>
        <sz val="9"/>
        <rFont val="Times New Roman"/>
        <family val="1"/>
      </rPr>
      <t>API 5L GR.X60, HFW, BE PER ASME B16.25, PER ASME B36.10, RADIUS OF CURVATURE:7D, BEND ANGLE:45° ACCORDING TO ASME B16.49</t>
    </r>
  </si>
  <si>
    <r>
      <rPr>
        <i/>
        <sz val="9"/>
        <rFont val="Times New Roman"/>
        <family val="1"/>
      </rPr>
      <t>THROUGH CONDUIT SWING CHECK VALVE, ASTM A216 WCB/A105, TRIM:13% Cr/STL6, BW, PUP PIECES, API 6D WHIT SPEED CONTROL ACCO. TO ATTACHMENT 18 CONTRACT</t>
    </r>
  </si>
  <si>
    <r>
      <rPr>
        <i/>
        <sz val="9"/>
        <rFont val="Times New Roman"/>
        <family val="1"/>
      </rPr>
      <t xml:space="preserve">THROUGH CONDUIT, EXTENDED STEM,  BB, BG, OS&amp;Y, ASTM A216 WCB/A105/A516GR.70, TRIM: 13%Cr/STL, BW, PUP PIECES, WITH LOCKING DEVICES, API 6D
</t>
    </r>
    <r>
      <rPr>
        <i/>
        <sz val="9"/>
        <rFont val="Times New Roman"/>
        <family val="1"/>
      </rPr>
      <t xml:space="preserve">- ACTUATOR: GAS OVER OIL ACTUATOR POWERED BY NITROGEN BOTTLES ACCORDING TO NIOEC-SP-70-18(3) (TYPE A).
</t>
    </r>
    <r>
      <rPr>
        <i/>
        <sz val="9"/>
        <rFont val="Times New Roman"/>
        <family val="1"/>
      </rPr>
      <t xml:space="preserve">- NITROGEN STORAGE TANK, ASME VIII, DIV.II W/ACCESSORIES (VOLUME TANK SHALL BE SIZED  FOR 3 VALVE STROKES)
</t>
    </r>
    <r>
      <rPr>
        <i/>
        <sz val="9"/>
        <rFont val="Times New Roman"/>
        <family val="1"/>
      </rPr>
      <t xml:space="preserve">-LOCAL CONTROL PANEL: 316 SS,IP65
</t>
    </r>
    <r>
      <rPr>
        <i/>
        <sz val="9"/>
        <rFont val="Times New Roman"/>
        <family val="1"/>
      </rPr>
      <t>- LINE BREAK DETECTION TYPE: ELECTRONIC TYPE W/ PRESSURE TRANSMITTER (IP65, EeXD, IIB,T4)</t>
    </r>
  </si>
  <si>
    <r>
      <rPr>
        <i/>
        <sz val="9"/>
        <rFont val="Times New Roman"/>
        <family val="1"/>
      </rPr>
      <t xml:space="preserve">- INTEGRATED SOLAR PANEL W/BATTERY BACK-UP CAPABLE OF 5 DAYS AUTONOMY
</t>
    </r>
    <r>
      <rPr>
        <i/>
        <sz val="9"/>
        <rFont val="Times New Roman"/>
        <family val="1"/>
      </rPr>
      <t xml:space="preserve">- FUNCTION( LOCAL): REQUIRED(OPEN/CLOSE)
</t>
    </r>
    <r>
      <rPr>
        <i/>
        <sz val="9"/>
        <rFont val="Times New Roman"/>
        <family val="1"/>
      </rPr>
      <t xml:space="preserve">- POWER/SIGNAL FAILURE : LAST POSITION WITH POSITION MONITORING VIA FIBER OPTIC CABLE
</t>
    </r>
    <r>
      <rPr>
        <i/>
        <sz val="9"/>
        <rFont val="Times New Roman"/>
        <family val="1"/>
      </rPr>
      <t xml:space="preserve">- HAND PUMP : REQUIRED
</t>
    </r>
    <r>
      <rPr>
        <i/>
        <sz val="9"/>
        <rFont val="Times New Roman"/>
        <family val="1"/>
      </rPr>
      <t xml:space="preserve">-SOLENIOD OPERATED VALVES : 1NO.S ,2 WAY 3 POSITION (IP65,EEXD,IIB,T4,316SS,Max.10W)
</t>
    </r>
    <r>
      <rPr>
        <i/>
        <sz val="9"/>
        <rFont val="Times New Roman"/>
        <family val="1"/>
      </rPr>
      <t xml:space="preserve">-PROXIMITY SWITCHS: 2 NO.S (IP65,EEXD,IIB,T4)
</t>
    </r>
    <r>
      <rPr>
        <i/>
        <sz val="9"/>
        <rFont val="Times New Roman"/>
        <family val="1"/>
      </rPr>
      <t>-3D LOCAL POSITION INDICATOR</t>
    </r>
  </si>
  <si>
    <r>
      <rPr>
        <i/>
        <sz val="9"/>
        <rFont val="Times New Roman"/>
        <family val="1"/>
      </rPr>
      <t>THROUGH CONDUIT, EXTENDED STEM,  BB, BG, OS&amp;Y, ASTM A216 WCB/A105/A516GR.70, TRIM: 13%Cr/STL6, BW , PUP PIECES, GEAR OP., WITH LOCKING DEVICES, WITH CONNECTIONS AND FACILITIES FOR CONNECTING TO HYDRAULIC POWER PACKAGE ACCORDING TO ATTACHMENT 18 OF CONTRACT, API 6D</t>
    </r>
  </si>
  <si>
    <r>
      <rPr>
        <i/>
        <sz val="9"/>
        <rFont val="Times New Roman"/>
        <family val="1"/>
      </rPr>
      <t>ASTM 694 F60, PUP PIECES, ACCORDING TO ATTACHMENT 18 OF CONTRACT</t>
    </r>
  </si>
  <si>
    <r>
      <rPr>
        <i/>
        <sz val="9"/>
        <rFont val="Times New Roman"/>
        <family val="1"/>
      </rPr>
      <t>ASTM 694 F60, PUP PIECES, ACCORDING TO ATTACHMENT 10&amp;18 OF CONTRACT,  IPS-M- TP-750/8-900#</t>
    </r>
  </si>
  <si>
    <r>
      <rPr>
        <i/>
        <sz val="9"/>
        <rFont val="Times New Roman"/>
        <family val="1"/>
      </rPr>
      <t xml:space="preserve">DRIVING ENGINE 4-SRTOKE AIR COOLED GASOLINE TYPE,
</t>
    </r>
    <r>
      <rPr>
        <i/>
        <sz val="9"/>
        <rFont val="Times New Roman"/>
        <family val="1"/>
      </rPr>
      <t>HYDRAULIC PUMP GEAR TYPE, ACCORDING TO ATTACHMENT 10&amp;18  OF CONTRACT</t>
    </r>
  </si>
  <si>
    <r>
      <rPr>
        <i/>
        <sz val="9"/>
        <rFont val="Times New Roman"/>
        <family val="1"/>
      </rPr>
      <t>TWO-LAYER FBE system 2A acc. To CSA Z 245 AND  IGS-M-TP-026 OR TWO COMPONENT SOLVENT FREE LIQUID EPOXY  , ACCORDING TO ATTACHMENT 10&amp;18</t>
    </r>
  </si>
  <si>
    <r>
      <rPr>
        <i/>
        <sz val="9"/>
        <rFont val="Times New Roman"/>
        <family val="1"/>
      </rPr>
      <t>AS PER API 1102</t>
    </r>
  </si>
  <si>
    <t>تجهیزات برقی تلمبه‌خانه رفسنجان</t>
  </si>
  <si>
    <t xml:space="preserve"> تجهیزات برقی تلمبه‌خانه یزد</t>
  </si>
  <si>
    <t>6 / 1 0KV Solid Copper Conductor Cable , XLPE Insulation , Extruded PVC Bedding ,  Lead Cover , Galvanized Steel Round Wire Armor , Hydrocarbon Resistant and Flame Retardant PVC Overall Sheath .
(CU/XLPE/SWA/PVC)(MEDIUM VOLTAGE) acc to  Attachment 10 of Contract</t>
  </si>
  <si>
    <t>0.6 / 1 KV Solid Copper Conductor Cable , XLPE Insulation , Extruded PVC Bedding , Lead Cover , Galvanized Steel Round Wire Armor , Hydrocarbon Resistant and Flame Retardant PVC Overall Sheath .(CU/XLPE/LC/SWA/PVC) acc to  Attachment 10 of Contract</t>
  </si>
  <si>
    <t>0.6 / 1 KV Solid Copper Conductor Cable , XLPE Insulation , Extruded PVC Bedding , Galvanized Steel Round Wire Armor , Hydrocarbon Resistant and Flame Retardant PVC Overall Sheath .(CU/XLPE/LC/SWA/PVC) acc to  Attachment 10 of Contract</t>
  </si>
  <si>
    <t>0.6 / 1 KV Solid Copper Conductor Cable , XLPE Insulation , Extruded PVC Bedding ,  Lead Cover , Galvanized Steel Round Wire Armor , Hydrocarbon Resistant and Flame Retardant PVC Overall Sheath .(CU/XLPE/LC/SWA/PVC) acc to  Attachment 10 of Contract</t>
  </si>
  <si>
    <t>12 / 20 KV Solid Copper Conductor Cable , XLPE Insulation , Extruded PVC Bedding ,  Lead Cover , Galvanized Steel Round Wire Armor , Hydrocarbon Resistant and Flame Retardant PVC Overall Sheath .(CU/XLPE/LC/SWA/PVC) acc to  Attachment 10 of Contract</t>
  </si>
  <si>
    <t>MV Switchgear ,6 kV ,with 2 incoming 630 A  (VCB) , 1 bus-tie 630A (VCB) , IP-42 ,25 kA and 10 outgoing feeders 630 A (VCB) , include ATS , 15 cubicles .As per Dwg. 870063-B-02-XXX-00-168-EL-0242.As per Ds.    870063-B-02-SWX-00-105-EL-0223.As per Spec. 870063-B-00-SWX-00-101-EL-0043. and Attachment 10 of Contract</t>
  </si>
  <si>
    <t>Extended MV Switchgear , 6 kV ,with 2 outgoing 630A (VCB) ,IP-42 ,25 kA , 2 cubicles .As per Dwg. 870063-B-02-XXX-00-168-EL-0242.As per Ds.    870063-B-02-SWX-00-105-EL-0223.As per Spec. 870063-B-00-SWX-00-101-EL-0043. and Attachment 10 of Contract</t>
  </si>
  <si>
    <t>MV Switchgear,20 KV, with 2 incoming and 6
outgoings, 630A (VCB) ,IP-42 ,25 KA ,3 cubicles .with
complete measuring and protection
As per Spec. 870063-B-00-SWX-00-101-EL-0043 and Attachment 10 of Contract</t>
  </si>
  <si>
    <t>LV Switchgear ,0.4 kV ,with 2 incoming 630 A (ACB) , 1 bus-tie 630 A (ACB) , 1 emergency incoming 630 A , IP-42 , 50 KA , 9 cubicles .As per Dwg. 870063-B-02-XXX-00-168-EL-0243.As per Ds.    870063-B-02-SWX-00-105-EL-0224.As per Spec. 870063-B-00-SWX-00-101-EL-0044. and Attachment 10 of Contract</t>
  </si>
  <si>
    <t>Power transformer , 6 / 0.42 kV , 300 kVA . As per Dwg. 870063-B-02-XXX-00-168-EL-0243.As per Spec. 870063-B-00-XXX-00-101-EL-0047,,As per Ds. 870063-B-00-TFX-00-105-EL-0225. and Attachment 10 of Contract</t>
  </si>
  <si>
    <t>Diesel emergency generator</t>
  </si>
  <si>
    <t>بالك تجهيزات برقي (مطابق شرح خدمات پيوست 10)</t>
  </si>
  <si>
    <t>Diesel emergency generator , 400 V , 300 kVA .As per Dwg. 870063‐B‐02‐XXX‐ 00‐168‐EL‐0243.As per Spec. 870063‐B‐00‐XXX‐00‐101‐EL‐0046 ,As per Ds.
870063‐B‐00‐GTX‐00‐105‐EL‐0225.and Attachment 10 of Contract</t>
  </si>
  <si>
    <t>برق‌رسانی و روشنایی ایستگاه‌های حفاظت کاتدیک خط لوله ۱۶ اینچ رفسنجان-یزد</t>
  </si>
  <si>
    <r>
      <rPr>
        <b/>
        <sz val="10.5"/>
        <rFont val="Arial"/>
        <family val="2"/>
      </rPr>
      <t>سيم هادي آلومنيوم روكش دار</t>
    </r>
    <r>
      <rPr>
        <b/>
        <sz val="10.5"/>
        <rFont val="Caladea"/>
        <family val="1"/>
      </rPr>
      <t xml:space="preserve"> AAAC</t>
    </r>
    <r>
      <rPr>
        <b/>
        <sz val="10.5"/>
        <rFont val="Arial"/>
        <family val="2"/>
      </rPr>
      <t xml:space="preserve"> براي احداث 20
</t>
    </r>
    <r>
      <rPr>
        <b/>
        <sz val="10.5"/>
        <rFont val="Arial"/>
        <family val="2"/>
      </rPr>
      <t>كيلومتر خط توزيع 20 كيلوولت</t>
    </r>
  </si>
  <si>
    <r>
      <rPr>
        <b/>
        <sz val="10.5"/>
        <rFont val="Arial"/>
        <family val="2"/>
      </rPr>
      <t>ترانس 20/0.4 كيلو ولت، با ظرفيت 50 كيلوولت آمپر</t>
    </r>
  </si>
  <si>
    <r>
      <rPr>
        <b/>
        <sz val="10.5"/>
        <rFont val="Arial"/>
        <family val="2"/>
      </rPr>
      <t xml:space="preserve">بالك برق رساني و روشنايي ايستگاه هاي حفاظت
</t>
    </r>
    <r>
      <rPr>
        <b/>
        <sz val="10.5"/>
        <rFont val="Arial"/>
        <family val="2"/>
      </rPr>
      <t>كاتديك خط لوله</t>
    </r>
  </si>
  <si>
    <t>تجهیزات ابزار دقیق و مخابرات تلمبه‌خانه رفسنجان</t>
  </si>
  <si>
    <t>بالك تجهيزات ابزاردقیق ، مخابرات ، دوربین مدار بسته و سیستم اعلان خطر(مطابق شرح خدمات پیوست ۱۰)</t>
  </si>
  <si>
    <t>ترانس 20/0.4 كيلو ولت، با ظرفيت 50 كيلوولت آمپر</t>
  </si>
  <si>
    <r>
      <rPr>
        <sz val="10"/>
        <rFont val="Times New Roman"/>
        <family val="1"/>
      </rPr>
      <t>Diesel emergency generator , 400 V , 300 kVA .As per Dwg. 870063‐B‐02‐XXX‐ 00‐168‐EL‐0243.As per Spec. 870063‐B‐00‐XXX‐00‐101‐EL‐0046 ,As per Ds.
870063‐B‐00‐GTX‐00‐105‐EL‐0225.and Attachment 10 of Contract</t>
    </r>
  </si>
  <si>
    <r>
      <rPr>
        <sz val="10"/>
        <rFont val="Times New Roman"/>
        <family val="1"/>
      </rPr>
      <t>230 VAC UPS ,dual system ,20 kVA ,IP‐42 ,
with 2 x 100% battery bank , As per Dwg. 870063‐B‐02‐UPX‐00‐168‐EL‐0244. As per Ds.   870063‐B‐02‐UPX‐00‐105‐EL‐0231.
As per Spec. 870063‐B‐00‐UPX‐00‐101‐EL‐0045. and Attachment 10 of Contract</t>
    </r>
  </si>
  <si>
    <r>
      <rPr>
        <sz val="10"/>
        <rFont val="Times New Roman"/>
        <family val="1"/>
      </rPr>
      <t>110 VDC Charger ,dual system ,5 kW ,IP‐42 ,with 2 x 50% battery bank As per Dwg. 870063‐B‐02‐UPX‐00‐168‐EL‐0245.
As per Ds.   870063‐B‐02‐UPX‐00‐105‐EL‐0230. As per Spec. 870063‐B‐00‐UPX‐00‐101‐EL‐0054. and Attachment 10 of Contract</t>
    </r>
  </si>
  <si>
    <r>
      <rPr>
        <sz val="10"/>
        <rFont val="Arial"/>
        <family val="2"/>
      </rPr>
      <t>سيم هادي آلومنيوم روكش دار</t>
    </r>
    <r>
      <rPr>
        <sz val="10"/>
        <rFont val="Caladea"/>
        <family val="1"/>
      </rPr>
      <t xml:space="preserve"> AAAC</t>
    </r>
    <r>
      <rPr>
        <sz val="10"/>
        <rFont val="Arial"/>
        <family val="2"/>
      </rPr>
      <t xml:space="preserve"> براي احداث 20
كيلومتر خط توزيع 20 كيلوولت</t>
    </r>
  </si>
  <si>
    <r>
      <rPr>
        <sz val="10"/>
        <rFont val="Arial"/>
        <family val="2"/>
      </rPr>
      <t>بالك برق رساني و روشنايي ايستگاه هاي حفاظت
كاتديك خط لوله</t>
    </r>
  </si>
  <si>
    <t>تجهیزات ابزار دقیق و مخابرات تلمبه‌خانه یزد</t>
  </si>
  <si>
    <t>Flow Switches</t>
  </si>
  <si>
    <t>Flow Meter Ultra Sonic</t>
  </si>
  <si>
    <t>Level Indicator</t>
  </si>
  <si>
    <t>Level Switches</t>
  </si>
  <si>
    <t>Level Transmitters</t>
  </si>
  <si>
    <t>Pressure Indicator</t>
  </si>
  <si>
    <t>Pressure Transmitters</t>
  </si>
  <si>
    <t>Temperature Indicators</t>
  </si>
  <si>
    <t>Temperature Transmitters</t>
  </si>
  <si>
    <t>Motor Actuated Valves (Actuator)</t>
  </si>
  <si>
    <t xml:space="preserve">Control Valve </t>
  </si>
  <si>
    <t>Pig Detector</t>
  </si>
  <si>
    <t xml:space="preserve">Restriction Orifice </t>
  </si>
  <si>
    <t>Pressure Relief Valve</t>
  </si>
  <si>
    <t>Temperature Relief Valve</t>
  </si>
  <si>
    <t>Limit Switch for Position Indicator</t>
  </si>
  <si>
    <t>TGS</t>
  </si>
  <si>
    <t>material, range, power supply, size, out/input signal,
 process connection, electrical connection, EEX, accuracy and other related data, shall be according to data sheet &amp; specification and Attachment 10 of Contract(for YAZD and NAEEN pump station)</t>
  </si>
  <si>
    <t xml:space="preserve">TANK GAUGING SYSTEM:
A: one radar level transmitter , top mounted, 6" 150# , 
B: one multi point temperature transmitter 2", 300#
C: one local indicator 
power supply 110 VAC from UPS to LI 
output signal : 4~20 mA + serial link
EEX protection
IP65
cable from LT &amp; TT  to Local indicator by vendor
wetted parts material 316 S.S
housing material C.S 
Specfication acc. to Attachment 10 of Contract
</t>
  </si>
  <si>
    <t>Telephone System With All Accessories Such As: Telephone Terminal Box, Telephone Cable, Telephone Socket Outlet, Telephone Set With Dial, Steel Conduit and etc.(Telephone sysytem shall be IP base type) shall be according to data sheet &amp; specification and Attachment 10 of Contract</t>
  </si>
  <si>
    <t>Paging System with all accessories such as: Paging Central Cabinet, Loudspeaker (Ex. and Non Ex. type), Ceiling Loudspeaker, Volume Control, Paging Junction Box, Paging Cable, Steel Conduit  and etc. shall be according to data sheet &amp; specification and Attachment 10 of Contract</t>
  </si>
  <si>
    <t>CCTV System With All Accessories Such As: cameras (Ex. And Non Ex.), Tower Of Cameras ,Network Video Recorder, Matrix Switcher, Color Monitor, CCTV Junction Box, CCTV Cable, Steel Conduit and etc. shall be according to data sheet &amp; specification and Attachment 10 of Contract</t>
  </si>
  <si>
    <t>LAN System With All Accessories Such As: Server, LAN Cabinet, Core Switch, Ethernet Access Switch electrical and Optical Patch Panel, Socket, LAN cable and etc. shall be according to data sheet &amp; specification and Attachment 10 of Contract</t>
  </si>
  <si>
    <t>تجهیزات ابزار دقیق و مخابرات خط لوله ۱۶ اینچ رفسنجان-یزد</t>
  </si>
  <si>
    <t>Patch Panel, Clouser Box,OCDF</t>
  </si>
  <si>
    <t>بالك ابزاردقيق و مخابرات خط لوله</t>
  </si>
  <si>
    <t>FIBER OPTIC CABLE
Non-zero dispersion-shifted Single-Mode optical fiber 16 Fibers Core, in 3 tubes
* Polyester tape wrapping over all tubes.
* A layer of armed yarn coated with hot melt adhesive should be applied over the wrapping.
* Polyethylene Inner Sheath.
* Corrugated steel tape coated on both sides with an adhesive ethylene copolymer shall
be applied longitudinally over the inner sheath as Armor.
* A layer of black High Density Poly Ethylene (HDPE) should be extruded over Armor.
For Details, Refer to Attachment 10&amp;18 of Contract for Fiber Optic Cables.</t>
  </si>
  <si>
    <t>کابل فیبر نوری مسیر خط لوله</t>
  </si>
  <si>
    <t>متعلقات فیبر نوری و کلوزر باکس‌ها</t>
  </si>
  <si>
    <t>تجهیزات حفاظت کاتدیک تلمبه‌خانه رفسنجان</t>
  </si>
  <si>
    <t>بالك تجهيزات  حفاظت کاتدیک(مطابق شرح خدمات پیوست ۱۰)</t>
  </si>
  <si>
    <t>ترانسفورمر رکتیفایر سیستم حفاظت کاتدی، مناسب نصب در فضای امن و فضای باز</t>
  </si>
  <si>
    <t>آند MMO نوع سیمی سیستم حفاظت کاتدی</t>
  </si>
  <si>
    <t>الکترود مرجع پرتابل Cu/CuSO₄ سیستم حفاظت کاتدی</t>
  </si>
  <si>
    <t>مواد پرکننده کک نفتی (Petroleum Coke Breeze) سیستم حفاظت کاتدی</t>
  </si>
  <si>
    <t>سلول ارتینگ روی (Zinc Earthing Cell) سیستم حفاظت کاتدی</t>
  </si>
  <si>
    <t>تجهیزات حفاظت کاتدیک تلمبه‌خانه یزد</t>
  </si>
  <si>
    <t>ترانسفورمر رکتیفایر سیستم حفاظت کاتدی، مناسب نصب در محیط امن و فضای باز</t>
  </si>
  <si>
    <t>حفاظت کاتدیک خط لوله ۱۶ اینچ رفسنجان-یزد</t>
  </si>
  <si>
    <t>آند چدن پرسیلیس-کروم (HSCI) نوع میله‌ای</t>
  </si>
  <si>
    <t>آند منیزیم با پتانسیل بالا جهت حفاظت کیسینگ و شیرآلات</t>
  </si>
  <si>
    <t>مواد پرکننده کک نفتی نوع 2 جهت آندهای HSCI</t>
  </si>
  <si>
    <t>ترانسفورمر رکتیفایر سیستم حفاظت کاتدی 50V/50A</t>
  </si>
  <si>
    <t>آند فداشونده روی جهت سیستم حفاظت کاتدی موقت</t>
  </si>
  <si>
    <t>Transformer Rectifier, suitable for Instalation in Safe Area, Outdoor, Oil cooled, IP54, Automatic, Plinth mounting, Input:AC, 400V, 50Hz, 3Phases, Output:One Channel, 50V/25A, Generally in Accordance with IPS-M-EL-155 and IEC 60146-60076</t>
  </si>
  <si>
    <t>Mixed Metal Oxide Anode (MMO), Wire Type, Anode Dimension: 3mm Dia, Current Output in Soil= 27mA/m (for 25 Years), Suitable for Parallel to the pipeline, Generaly accordance to ASTM B348, Grade 1 or2</t>
  </si>
  <si>
    <t>Portable Reference Electrode, Cu/Cuso4, with 3 m Cable 1x2.5 mm2 Cu/PVC, Other Specification According to Data Sheet</t>
  </si>
  <si>
    <t>Petroleum Coke Breeze, With Max. 90 % Carbon Contents, Packed on Min. 50 Kg Cotton or Nylon Packs,The particle sizes of backfill materials shall confirm to the following size: 100% Less than 3 mm, 90% Greater than 0.5 mm.Generally In Accordance With IPS-M-TP-750, Part 2, Coke Type 2</t>
  </si>
  <si>
    <t>Zinc Earthing Cell, Dimension= 36x36x1520 mm (Two Zinc Electrodes), with 10m Cable 1x10 mm2 Cu/XLPE/PVC, Cables connected to Each Electrod in Factory, Prepackaged with Special Backfill</t>
  </si>
  <si>
    <t xml:space="preserve">High silicon chromium bearing cast  iron, 3* 60 in, rod type, 50 kg, 3m-10 mm2 copper HMWPE/PVC insulated cabled, suitably backfilled, acc. to IPS-M-TP-750/1 ACCORDING TO ATTACHMENT 10&amp;18 </t>
  </si>
  <si>
    <t xml:space="preserve">Cast high potential magnesium anode, 32 lb, 3m-10 mm2 copper HMWPE/PVC insulated cabled, suitably backfilled, acc. to IPS-M-TP-750/3 (for protection of casings &amp; buried valves) ACCORDING TO ATTACHMENT 10&amp;18 </t>
  </si>
  <si>
    <t xml:space="preserve">Petroleum Coke breeze backfill (IPS M-TP 750-type 2) for HSCI rod anodes based on anode final diameter of 30 cm  ACCORDING TO ATTACHMENT 10&amp;18 </t>
  </si>
  <si>
    <t xml:space="preserve">Transformer rectifier, 380 V 50 Hz AC, 3- phase, output: 50 V,50 A, outdoor, IP 54, oil-immersed, auto potential (smart), concrete pad mounted ACCORDING TO ATTACHMENT 10&amp;18 </t>
  </si>
  <si>
    <t>Zinc Sacrificial Anode 10 pound (including insertion/Core) 1× 16”, insulated Cable XLPE/PVC Cable /Length 5m for Temporary Cathodic Protection system</t>
  </si>
  <si>
    <t>بالک حفاظت کاتدیک خط لوله</t>
  </si>
  <si>
    <t xml:space="preserve"> تجهیزات ایمنی تلمبه‌خانه رفسنجان</t>
  </si>
  <si>
    <t xml:space="preserve"> تجهیزات ایمنی تلمبه‌خانه یزد</t>
  </si>
  <si>
    <t>Water hydrant  with  valve inlet ,bumper and other components according to 870063-B-02-XXX-00-101-SA-0312 and Attachment 10 of Contract</t>
  </si>
  <si>
    <t>Water hydrant with fixed monitor  with  valve inlet ,bumper and other components  according to 870063-B-02-XXX-00-101-SA-0312 and Attachment 10 of Contract</t>
  </si>
  <si>
    <t>CO2 EXTINGUISHER (6 KG)according to 870063-B-02-XXX-00-101-SA-0312 and Attachment 10 of Contract</t>
  </si>
  <si>
    <t>CO2 EXTINGUISHER (30 KG)according to 870063-B-02-XXX-00-101-SA-0312 and Attachment 10 of Contract</t>
  </si>
  <si>
    <t>DRY POWDER EXTINGUISHER (12 KG)according to 870063-B-02-XXX-00-101-SA-0312 and Attachment 10 of Contract</t>
  </si>
  <si>
    <t xml:space="preserve"> Wheeled DRY POWDER EXTINGUISHER (75 KG) according to 870063-B-02-XXX-00-101-SA-0312 and Attachment 10 of Contract</t>
  </si>
  <si>
    <t>Inert Gas (Non-CO2 gas)Total Flooding system with
local Application for Control Room according to 870063-B-02-XXX-00-101-SA-0312 and Attachment 10 of Contract</t>
  </si>
  <si>
    <t>Inert Gas (Non-CO2 gas)Total Flooding system with
local Application for Diesel Generator Building according to 870063-B-02-XXX-00-101-SA-0312 and Attachment 10 of Contract</t>
  </si>
  <si>
    <t>بالك تجهيزات ایمنی (مطابق شرح خدمات پیوست ۱۰)</t>
  </si>
  <si>
    <t>متریال PIPE</t>
  </si>
  <si>
    <t>متریال Ball Valve</t>
  </si>
  <si>
    <t>متریال Check Valve</t>
  </si>
  <si>
    <t>متریال Chock Valve</t>
  </si>
  <si>
    <t>متریال EXPANSION JOINT</t>
  </si>
  <si>
    <t>متریال Gate Valve</t>
  </si>
  <si>
    <t>متریال GLOBE VALVE</t>
  </si>
  <si>
    <t>متریال bulk</t>
  </si>
  <si>
    <t>به تفکیک هر قسمت پایپینک</t>
  </si>
  <si>
    <t>قسمت پایپینگ به تفکیک</t>
  </si>
  <si>
    <t xml:space="preserve">EXPANSION JOINT </t>
  </si>
  <si>
    <t>تجمعی ریال</t>
  </si>
  <si>
    <t>تجمعی یورویی</t>
  </si>
  <si>
    <t xml:space="preserve">مجموع </t>
  </si>
  <si>
    <t>به تفکیک هر قسمت مکانیکال</t>
  </si>
  <si>
    <t>ANCHOR FLANGE</t>
  </si>
  <si>
    <r>
      <rPr>
        <i/>
        <sz val="12"/>
        <rFont val="Times New Roman"/>
        <family val="1"/>
      </rPr>
      <t>ASTM 694 F60, PUP PIECES, ACCORDING TO ATTACHMENT 18 OF CONTRACT</t>
    </r>
  </si>
  <si>
    <t>قسمت مکانیکال به تفکیک</t>
  </si>
  <si>
    <t>BLOCK VALVE</t>
  </si>
  <si>
    <t>متریال BLOCK VALVE</t>
  </si>
  <si>
    <t>جدول شماره ۲: تفکیک برآورد کل پروژه بر اساس (سند اصلی)</t>
  </si>
  <si>
    <t xml:space="preserve">جدول جامع و فوق‌فشرده برآورد متریال کل پروژه به تفکیک سرفصل‌های تخصصی </t>
  </si>
  <si>
    <t>سرفصل پروژه (Discipline)</t>
  </si>
  <si>
    <t>اقلام تفصیلی، ابعاد و مشخصات فنی ادغام‌یافته</t>
  </si>
  <si>
    <t>تعداد / متراژ کل پروژه</t>
  </si>
  <si>
    <t>شیت مرجع</t>
  </si>
  <si>
    <t>1</t>
  </si>
  <si>
    <t>لوله‌کشی و شیرآلات
(Piping &amp; Valves)</t>
  </si>
  <si>
    <t xml:space="preserve">• Pipe (لوله): سایزهای "8, "12, "14, "16, "18, "28 (متراژ کل: ۵,۲۶۰ متر)
• Gate Valve (شیر دروازه‌ای): سایزهای "6, "12, "14, "16 (تعداد کل: ۲۳ عدد)
• Check Valve (شیر خودکار): سایزهای "6, "12, "14, "18, "28 (تعداد کل: ۴۱ عدد)
• Ball Valve (شیر توپی): سایزهای "6, "8, "12, "14, "18, "28 (تعداد کل: ۳۰ عدد)
• Chock Valve (شیر چوک): سایز "8 (تعداد کل: ۴ عدد)
• Globe Valve (شیر کروی): سایز "14 (تعداد کل: ۱ عدد)
• Expansion Joint (لرزه‌گیر آکاردئونی): سایزهای "14, "18, "28 (تعداد کل: ۶ عدد)
• (تعداد کل: ۲ ست) Bulk Equipment (اتصالات فله): سایز Bulk </t>
  </si>
  <si>
    <t>۵,۲۶۰ متر لوله
۱۰۵ عدد انواع شیرآلات
۲ ست تجهیزات فله</t>
  </si>
  <si>
    <t>لوله‌ها و اتصالات فولادی فشار قوی خطوط فرآورده و شیرآلات صنعتی تا کلاس کاری ۱۵۰۰.</t>
  </si>
  <si>
    <t>Piping &amp; Valves</t>
  </si>
  <si>
    <t>2</t>
  </si>
  <si>
    <t>تجهیزات مکانیکال
(Mechanical Equipment)</t>
  </si>
  <si>
    <t>• MAIN PUMP (پمپ‌های اصلی): برقی (MP-451/452/453) و دیزلی (MP-554) (تعداد کل: ۷ عدد)
• BOOSTER PUMP (بوستر پمپ‌ها و پمپ‌های فرعی): بوستر پمپ‌های BP-451 و BP-551، پمپ‌های تزریق مجدد P-551 و پمپ‌های تخلیه (تعداد کل: ۱۲ عدد)
• Pig Trap (تله‌های ارسال/دریافت پیگ): سایز "16x"20 کلاس ۹۰۰# گرید X60 (تعداد کل: ۲ ست کامل)
• Corrosion Inhibitor Package (پکیج تزریق ضدخوردگی): مدل‌های PK-451 و PK-551 (تعداد کل: ۲ ست)
• Cranes (جرثقیل‌ها): جرثقیل سقفی ۱۵ تن، کارگاهی ۵ تن و بازویی ۱ تن با متعلقات کامل (تعداد کل: ۹ عدد)
• Tanks (مخازن فرآیندی/سوخت): ظرفیت‌های ۲۰ و ۳۰ مترمکعب دفنی تحت فشار (تعداد کل: ۳ دستگاه)
• Main Strainer (صافی‌های اصلی): کلاس‌های کاری ۶۰۰# و ۹۰۰# تلمبه‌خانه‌ها (تعداد کل: ۸ عدد)
• Hot Bend (خم‌های گرم خط لوله): سایز "16 زاویه ۴۵ درجه با شعاع 7D گرید X60 (تعداد کل: ۱۲ عدد)
• Pipeline Valves (شیرآلات خط لوله): شیرآلات بین‌راهی "16 کلاس ۹۰۰# (شامل LBV با پنل خورشیدی، Block، Check) (تعداد کل: ۹ عدد)
• Anchor &amp; Insulating Flange (اتصالات مهار و عایقی): سایز "16 کلاس ۹۰۰# گرید F60 (تعداد کل: ۴ عدد)
• Power Pack Unit &amp; Casing (پاورپک و غلاف کیسینگ): پاورپک بنزینی هیدرولیک و لوله کیسینگ "20 عبوری راه آهن (تعداد کل: ۲ ست پاورپک، ۶۰۰ متر کیسینگ)
• Field Joint Coating (پوشش سرجوش): سیستم دو لایه FBE سرجوش‌ها و پوشش‌های مایع اپوکسی (تعداد کل: ۲۰,۰۰۰ عدد پوشش)</t>
  </si>
  <si>
    <t>۵۸ عدد انواع پمپ و تجهیزات اصلی
۲۰,۰۰۰ عدد پوشش سرجوش FBE
۲ ست تجهیزات مکانیکی فله</t>
  </si>
  <si>
    <t>پمپ‌های پرقدرت انتقال فرآورده و بوستری، تله‌های پیگ‌رانی، خم‌های خط لوله و شیرآلات کنترلی بین‌راهی.</t>
  </si>
  <si>
    <t>Mechanical</t>
  </si>
  <si>
    <t>3</t>
  </si>
  <si>
    <t>تجهیزات برقی
(Electrical Equipment)</t>
  </si>
  <si>
    <t>• Medium Voltage Cable (کابل‌های فشار متوسط): سایزهای 1x240 و 3x185 رده ۱۲/۲۰kV سربی زره‌دار سربی (Lead Cover / SWA) (متراژ کل: ۱۲,۳۶۰ متر)
• Low Voltage Cable (کابل‌های فشار ضعیف): هادی‌های مسی زره‌دار 3x240+120 و 3x120+70 و 3x95 و 1x120 و 1x95 (متراژ کل: ۳,۲۷۰ متر)
• MV/LV Switchgears (تابلوهای برق): رده‌های ۶kV و ۲۰kV مجهز به بریکر خلاء (VCB) و تابلوهای LV رده ۰.۴kV (ظرفیت ۵۰kA) (تعداد کل: ۸ ست)
• Power Transformers (ترانس‌های قدرت): ظرفیت پرقدرت ۱۲۵۰۰kVA رده ۲۰/۶.۳kV و توزیع ۳۰۰kVA و ۵۰kVA کنسرواتوری (تعداد کل: ۹ دستگاه)
• UPS &amp; Battery Chargers (یو‌پی‌اس و شارژر): سیستم‌های دوگانه ۲۳۰VAC ظرفیت ۲۰kVA و ۱۱۰VDC توان ۵kW با بانک‌های باتری ۱۰۰% (تعداد کل: ۴ ست)
• AAAC Conductor Wire (سیم هادی توزیع هوایی): خط توزیع ۲۰ کیلوولت آلومینیومی روکش‌دار ایستگاه‌ها (متراژ کل: ۲۰ کیلومتر)
• Diesel Emergency Generator (دیزل ژنراتور اضطراری): ظرفیت ۳۰۰kVA خروجی ۴۰۰V برای تلمبه‌خانه یزد مجهز به ATS (تعداد کل: ۱ دستگاه)
• Bulk Electrical (ملزومات فله برقی): سیستم‌های روشنایی، اتصالات ارت، کابل‌کشی عمومی و ملزومات برق ایستگاه‌های کاتدیک (تعداد کل: ۳ ست)</t>
  </si>
  <si>
    <t>۱۵,۶۳۰ متر کابل‌کشی مسی زره‌دار
۲۰ کیلومتر خط انتقال هوایی برق
۲۲ ست انواع تابلو، ترانسفورمر و سیستم برق اضطراری</t>
  </si>
  <si>
    <t>کابل‌های مسی زره‌دار سربی فشار متوسط و ضعیف، پست‌های برق با تابلوهای خلاء، ترانسفورماتورهای فوق پرقدرت و برق اضطراری.</t>
  </si>
  <si>
    <t>Electrical</t>
  </si>
  <si>
    <t>4</t>
  </si>
  <si>
    <t>ابزار دقیق و مخابرات
(Instrumentation &amp; Telecom)</t>
  </si>
  <si>
    <t>• F&amp;G / Control Systems (اعلان حریق و کنترل): سیستم اعلان حریق تحت پردازنده و سیستم کنترل کانسول‌های ESD و PCS تحت شبکه PLC با ریداندانت دوگانه (تعداد کل: ۴ ست)
• Motor Actuated Valves (ولوهای موتوردار): سایزهای "4 تا "28 کلاس‌های ۱۵۰ الی ۱۵۰۰ مجهز به اکچویتور برقی ۴۰۰VAC (MOV) (تعداد کل: ۵۴ عدد)
• Ultrasonic Flow Meters (فلومترهای اولتراسونیک): سایز "16 رده‌های ۶۰۰# و ۹۰۰# مجهز به مسیرهای اندازه‌گیری چندکاناله (تعداد کل: ۸ ست)
• Transmitters &amp; Instruments (حسگرها و فرستنده‌ها): سنجش فشار، دما، سطح و دانسیته مجهز به مانیفولدهای ۶۰۰۰# و آلیاژ ضدخوردگی Monel (تعداد کل: ۱۶۷ عدد)
• Relief &amp; Control Valves (شیرهای ایمنی و کنترل جریان): شیر کنترل دبی "12 کلاس ۱۵۰۰ رینگ‌جوینت و شیرهای اطمینان حرارتی و فشاری (تعداد کل: ۵۷ عدد)
• Telecom Systems (مخابرات و تلفن): سیستم تلفن تحت شبکه IP، سیستم پیجینگ صنعتی مجراها و دوربین‌های مداربسته امنیتی CCTV (تعداد کل: ۱۲ ست)
• Fiber Optic Cable (خط فیبر نوری خط لوله): کابل سینگل‌مود زره‌دار فولادی مسلح ۱۶ هسته‌ای مسیر انتقال به همراه کلوزرباکس‌ها (متراژ کل: ۴,۰۰۰ متر)
• Tank Gauging System (TGS): ترانسمیترهای راداری سطح، فرستنده چند نقطه‌ای دما و نمایشگر محلی (تعداد کل: ۳ ست)
• Bulk I&amp;C (ملزومات فله ابزار دقیق): ملزومات کابل‌کشی ابزار دقیق، تیوبینگ‌های اتصال و متعلقات کارهای عمومی (تعداد کل: ۳ ست)</t>
  </si>
  <si>
    <t>۴,۰۰۰ متر کابل فیبر نوری زره‌دار
۲۴۰ عدد انواع شیر موتوردار و فلومتر اولتراسونیک
۱۹۸ عدد انواع ترانسمیتر دقیق و سیستم‌های مخابراتی</t>
  </si>
  <si>
    <t>سامانه‌های مانیتورینگ دقیق فرآیند، شیرآلات کنترل موتوردار پرسرعت، حسگرهای Eexd، شبکه فیبر نوری مجهز به مانیتورینگ دوربین و پیجینگ.</t>
  </si>
  <si>
    <t>Instrumentation</t>
  </si>
  <si>
    <t>5</t>
  </si>
  <si>
    <t>حفاظت کاتدیک
(Cathodic Protection)</t>
  </si>
  <si>
    <t>• Transformer Rectifiers (رکتیفایرهای کاتدیک): رده‌های هوشمند خودکار ۵۰V/۲۵A و ۵۰V/۵۰A روغنی فضای باز با پایه بتنی (تعداد کل: ۵ دستگاه)
• Anodes (آندهای حفاظت کاتدی): آندهای سیمی MMO، آند چدن پرسیلیس HSCI رده "3x"60، آند منیزیم ۳۲ پوندی و آند روی موقت ۱۰ پوندی (تعداد کل: ۸۲۰ عدد)
• Coke Breeze Backfill (پشت‌بند کک نفتی): کک نفتی کربن بالای ۹۰% نوع ۲ دانه ریز مطابق استاندارد IPS-M-TP-750 (وزن کل: ۱۳,۵۰۰ کیلوگرم)
• Zinc Earthing Cell (سلول‌های ارت زمین): مشخصات ابعادی 36x36x1520mm به همراه ۱۰ متر کابل مسی XLPE (تعداد کل: ۲ عدد)
• Bulk CP (ملزومات فله کاتدیک): کابل‌های اتصالی مسی، تست باکس‌ها، اتصالات باندینگ خط لوله و جعبه‌های توزیع جریان (تعداد کل: ۳ ست)</t>
  </si>
  <si>
    <t>۵ دستگاه ترانسفورمر رکتیفایر هوشمند
۸۲۲ عدد انواع آند MMO، چدنی، منیزیم و روی و سلول ارت
۱۳.۵ تن مواد پشت‌بند کک نفتی کربن بالا</t>
  </si>
  <si>
    <t>تجهیزات حفاظت اکتیو و غیرفعال خط در برابر خوردگی خاک شامل ترانس‌های رکتیفایر هوشمند، بستر آندهای عمیق چدن و منیزیم.</t>
  </si>
  <si>
    <t>Cathodic Protection</t>
  </si>
  <si>
    <t>6</t>
  </si>
  <si>
    <t>ایمنی و آتشنشانی
(Safety &amp; Fire Fighting)</t>
  </si>
  <si>
    <t>• Water Hydrants (هیدرانت‌ها و مانیتورها): پکیج هیدرانت‌های مجهز به ورودی شیر کنترل، محافظ بدنه و مانیتورهای آتش‌نشانی ثابت سالن‌ها (تعداد کل: ۱۲ ست)
• Fire Extinguishers (کپسول‌های حریق): کپسول‌های پودر خشک دستی ۱۲ کیلوگرمی و چرخ‌دار ۷۵ کیلوگرمی به همراه کپسول‌های گازی CO2 رده ۶kg و ۳۰kg (تعداد کل: ۳۸ عدد)
• Total Flooding Systems (سیستم اطفای گازی): پکیج اطفای اتوماتیک سیلابی گاز بی‌اثر (Inert Gas) مجهز به لوله‌کشی و سیلندرهای تحت فشار (تعداد کل: ۲ ست)
• Bulk Safety (ملزومات فله ایمنی): جعبه‌های شلنگ آب آتش‌نشانی، تجهیزات ایمنی فردی، سیستم‌های دستی اضطراری سالن پمپ‌ها (تعداد کل: ۲ ست)</t>
  </si>
  <si>
    <t>۱۲ ست هیدرانت و مانیتور آتش صنعتی
۳۸ کپسول اطفاء پرتابل پودری و CO2
۴ ست پکیج سیلابی گازی و متعلقات فله ایمنی</t>
  </si>
  <si>
    <t>رینگ هیدرانت‌ها و مانیتورهای توزیع آب آتش‌نشانی ایستگاه‌ها، تجهیزات اطفای سیلابی گازی فضاهای حساس الکترونیکی و کپسول‌های پرتابل.</t>
  </si>
  <si>
    <t>Safety &amp; Fire Fighting</t>
  </si>
  <si>
    <t>7</t>
  </si>
  <si>
    <t>لوازم یدکی دو ساله بهرهبرداری
(Spare Parts)</t>
  </si>
  <si>
    <t>• Rafsanjan Spares (یدکی‌های ایستگاه رفسنجان): قطعات یدکی پمپ‌ها، تجهیزات ابزار دقیق و برقی مصرفی پیش‌راه‌اندازی ایستگاه (تعداد کل: ۱ پکیج)
• Yazd Spares (یدکی‌های ایستگاه یزد): لوازم یدکی قطعات گردان مکانیکی و ابزار دقیق دو ساله بهره‌برداری مداوم (تعداد کل: ۱ پکیج)
• Pipeline Spares (یدکی‌های خط لوله): لوازم یدکی شیرآلات پرسرعت بین‌راهی خط لوله، اکچویتورهای هیدرولیک و اتصالات مسیر انتقال (تعداد کل: ۱ پکیج)</t>
  </si>
  <si>
    <t>۳ پکیج جامع مقطوع (شامل قطعات یدکی رفسنجان، یزد و خط لوله ۱۶ اینچ)</t>
  </si>
  <si>
    <t>قطعات مصرفی دوره پیش‌راه‌اندازی و قطعات یدکی مکانیکی، برقی و ابزار دقیق با کارکرد دو ساله کل تاسیسات پروژه.</t>
  </si>
  <si>
    <t>Spare Parts</t>
  </si>
  <si>
    <t xml:space="preserve">Comprehensive &amp; Consolidated Project Materials Estimate by Special Disciplines </t>
  </si>
  <si>
    <t>EPC Project for Constructing 16" Rafsanjan-Yazd Product Pipeline &amp; Developing Rafsanjan and Yazd Pump Stations</t>
  </si>
  <si>
    <t>Item</t>
  </si>
  <si>
    <t>Project Discipline</t>
  </si>
  <si>
    <t>Detailed Consolidated Items &amp; Technical Specs (English ONLY)</t>
  </si>
  <si>
    <t>Project Total Quantity</t>
  </si>
  <si>
    <t>Reference Sheet</t>
  </si>
  <si>
    <t>• Pipe: Sizes 8", 12", 14", 16", 18", 28" (Total Qty: 5,260 M)
• Gate Valve: Sizes 6", 12", 14", 16" (Total Qty: 23 NO)
• Check Valve: Sizes 6", 12", 14", 18", 28" (Total Qty: 41 NO)
• Ball Valve: Sizes 6", 8", 12", 14", 18", 28" (Total Qty: 30 NO)
• Chock Valve: Size 8" (Total Qty: 4 NO)
• Globe Valve: Size 14" (Total Qty: 1 NO)
• Expansion Joint: Sizes 14", 18", 28" (Total Qty: 6 NO)
• Bulk Piping: General accessories (Total Qty: 2 Bulk)</t>
  </si>
  <si>
    <t>5,260 M Pipes
105 NO Valves
2 Bulk Sets</t>
  </si>
  <si>
    <t>High-pressure steel piping, valves, and joints up to class 1500.</t>
  </si>
  <si>
    <t>Mechanical Equipment</t>
  </si>
  <si>
    <t>• Main Transfer Pumps: Electrical MP-451/452/453 &amp; MP-551/552/553, Diesel MP-554 (Total Qty: 7 NO)
• Booster &amp; Auxiliary Pumps: Main Booster Pumps BP-451 A/B/C &amp; BP-551 A/B/C, Re-injection P-551 A/B, Close Drain P-552, Dirty Drain P-553, Fuel P-560 (Total Qty: 12 NO)
• Process Tanks: Buried underground horizontal pressure tanks 20 m3 and 30 m3 (Total Qty: 3 NO)
• Pig Traps: 16"x20" Pig Launcher Trap S-432, Receiver Trap S-551, Class 900# API 5L X60 (Total Qty: 2 SET)
• Cranes: Overhead manual cranes 15 Ton, 5 Ton, Jib cranes 1 Ton (Total Qty: 9 NO)
• Pipeline Equipment: Main strainers 600# &amp; 900#, hot bends 16", insulated flanges, anchor flanges, field joint coatings, rail casing (Total Qty: 8 Strainers, 12 Hot Bends, 4 Insulating/Anchor, 20,000 FBE Coatings, 600m Casing)</t>
  </si>
  <si>
    <t>58 NO/SET Core Equipments
20,000 FBE Joint Coatings
2 Bulk Mechanical Sets</t>
  </si>
  <si>
    <t>High-capacity transfer pumps, pig traps, cranes, vessels, and bends.</t>
  </si>
  <si>
    <t>Electrical Equipment</t>
  </si>
  <si>
    <t>• Medium Voltage Cables: 1x240, 3x185, 12/20kV &amp; 6/10kV copper SWA lead covered (Total Qty: 12,360 M)
• Low Voltage Cables: 3x240+120, 3x120+70, 3x95, 1x120, 1x95 copper SWA lead covered (Total Qty: 3,270 M)
• MV/LV Switchgears: 20kV MV switchgears (VCB 25kA/1s), 6kV withdrawable vacuum type (1600A), 0.4kV LV switchgears, power factor panels (Total Qty: 8 SET)
• Power Transformers: 12500kVA 20/6.3kV ONAN transformers, distribution 300kVA &amp; 50kVA transformers (Total Qty: 9 NO)
• UPS &amp; Battery Chargers: 230VAC UPS dual system 20kVA (100% battery bank), 110VDC charger dual system 5kW (Total Qty: 4 SET)
• Power Transmission Line: 20kV overhead line with AAAC aluminum conductor wire (Total Qty: 20 KM)
• Diesel Emergency Generator: 300kVA 400V generator with ATS (Total Qty: 1 NO)
• Bulk Electrical: Lighting, grounding, cabling, trays and cathodic protection power supplies</t>
  </si>
  <si>
    <t>15,630 M Copper Armored Cables
20 KM Overhead Distribution Line
22 SET Switchgears, Transformers, Emergency UPS</t>
  </si>
  <si>
    <t>Power substations, armored copper cables, switchgears, and power grids.</t>
  </si>
  <si>
    <t>Instrumentation &amp; Telecom</t>
  </si>
  <si>
    <t>• F&amp;G / Control Systems: Microprocessor-based Fire &amp; Gas control panel, PLC-based PCS &amp; ESD dual redundant control systems (Total Qty: 4 SET)
• Motor Actuated Valves (MOV): Ball valves 4" to 28", classes 150# to 1500# with 400VAC actuators (Total Qty: 54 NO)
• Ultrasonic Flow Meters: 16" inline meters class 600# and 900# RF/RTJ (Total Qty: 8 NO)
• Transmitters &amp; Indicators: Pressure, temperature, level, DP transmitters with 316SS wetted parts and 6000# manifolds (Total Qty: 167 NO)
• Relief &amp; Control Valves: Globe control valves 12" class 1500, pressure/temperature relief valves, restriction orifices (Total Qty: 57 NO)
• Telecom Systems: IP-based telephone systems, industrial paging cabinet and speakers, CCTV security system, LAN server and switches (Total Qty: 12 SET)
• Fiber Optic Cable: 16-Core single-mode armored optic cable with closure boxes/patch panels (Total Qty: 4,000 M)
• Tank Gauging System (TGS): Radar level transmitters, multipoint temp transmitters, local indicators (Total Qty: 3 SET)
• Bulk I&amp;C: Cables, tubing, fittings and installation accessories</t>
  </si>
  <si>
    <t>4,000 M Armored Fiber Optic
240 NO Motorized &amp; Control Valves
198 SET Instruments &amp; Transmitters</t>
  </si>
  <si>
    <t>Process monitoring systems, motorized valves, meters, sensors, and telecom.</t>
  </si>
  <si>
    <t>• Transformer Rectifiers: Outdoor smart automatic oil-immersed units 50V/25A and 50V/50A on concrete pads (Total Qty: 5 NO)
• CP Anodes: MMO wire anodes, HSCI rod anodes (3"x60" 50kg), magnesium high-potential anodes (32 lb), zinc temporary anodes (10 lb) (Total Qty: 820 NO)
• Materials: Petroleum coke breeze backfill type 2 (&gt;90% Carbon) for deep well bed (Total Qty: 13,500 Kg)
• Earthing Cells: Zinc earthing cells (36x36x1520mm) prepackaged with special backfill and cables (Total Qty: 2 NO)
• Bulk CP: Testing/bonding junction boxes, copper cabling and connection kits</t>
  </si>
  <si>
    <t>5 NO Smart Transformer Rectifiers
822 NO MMO, HSCI, Zinc, Magnesium Anodes
13.5 Tons Coke Breeze Materials</t>
  </si>
  <si>
    <t>Corrosion prevention systems, rectifiers, anodes, backfills, and grounding.</t>
  </si>
  <si>
    <t>• Water Hydrants &amp; Monitors: Hydrants with valve inlets, fixed monitors, bumpers and year-round safety accessories (Total Qty: 12 SET)
• Fire Extinguishers: Portable CO2 (6kg, 30kg) and dry powder (12kg, wheeled 75kg) extinguishers (Total Qty: 38 NO)
• Gaseous Total Flooding Systems: Inert Gas (Non-CO2 gas) automatic total flooding packages for Control Room and Diesel Generator Building (Total Qty: 2 SET)
• Bulk Safety: Hose boxes, fire equipment cabinets, personal protective gear and station signage</t>
  </si>
  <si>
    <t>12 SET Hydrants &amp; Fire Monitors
38 NO Dry Powder &amp; CO2 Extinguishers
4 SET Gaseous Flooding &amp; Accessories</t>
  </si>
  <si>
    <t>Active and passive fire extinguishing systems, hydrants, and safety gear.</t>
  </si>
  <si>
    <t>• Rafsanjan Station Spares: Pump components, instrumentation consumables and startup spare parts (Total Qty: 1 Package)
• Yazd Station Spares: Two-year operating mechanical, electrical and structural spare parts (Total Qty: 1 Package)
• Pipeline Spares: Spare parts for line block valves, hydraulic actuator kits and connection spares (Total Qty: 1 Package)</t>
  </si>
  <si>
    <t>3 Packages (Pre-commissioning consumables &amp; two-year operating spares)</t>
  </si>
  <si>
    <t>Two-year operating mechanical and electrical spare parts packages.</t>
  </si>
  <si>
    <t xml:space="preserve">Brief Scope Description </t>
  </si>
  <si>
    <t xml:space="preserve">شرح بسیار خلاصه سرفصل </t>
  </si>
  <si>
    <t>خلاصه متریال 
( به فارسی - انگلیسی)</t>
  </si>
  <si>
    <t xml:space="preserve">فصل بندی متریال براساس جدول ذیل </t>
  </si>
  <si>
    <t xml:space="preserve"> متریال
         ( Piping &amp; Valves)</t>
  </si>
  <si>
    <t xml:space="preserve"> متریال
         ( Mechanical)</t>
  </si>
  <si>
    <t xml:space="preserve"> متریال
         ( Electrical)</t>
  </si>
  <si>
    <t xml:space="preserve"> متریال
         (Instrumentation)</t>
  </si>
  <si>
    <t xml:space="preserve"> متریال
         (Cathodic Protection)</t>
  </si>
  <si>
    <r>
      <t xml:space="preserve"> متریال
         </t>
    </r>
    <r>
      <rPr>
        <b/>
        <sz val="72"/>
        <rFont val="B Titr"/>
        <charset val="178"/>
      </rPr>
      <t>(Safety &amp; Fire Fighting)</t>
    </r>
  </si>
  <si>
    <r>
      <t xml:space="preserve"> متریال
         </t>
    </r>
    <r>
      <rPr>
        <b/>
        <sz val="72"/>
        <rFont val="B Titr"/>
        <charset val="178"/>
      </rPr>
      <t>(Spare Parts)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</si>
</sst>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4">
    <font>
      <sz val="11"/>
      <color theme="1"/>
      <name val="Calibri"/>
      <family val="2"/>
      <scheme val="minor"/>
    </font>
    <font>
      <b/>
      <sz val="10"/>
      <color rgb="FF595959"/>
      <name val="Segoe UI"/>
      <family val="2"/>
    </font>
    <font>
      <sz val="11"/>
      <color rgb="FF000000"/>
      <name val="Segoe UI"/>
      <family val="2"/>
    </font>
    <font>
      <b/>
      <sz val="11"/>
      <color rgb="FFFFFFFF"/>
      <name val="Segoe UI"/>
      <family val="2"/>
    </font>
    <font>
      <b/>
      <u/>
      <sz val="10"/>
      <color rgb="FF1F4E79"/>
      <name val="Segoe UI"/>
      <family val="2"/>
    </font>
    <font>
      <b/>
      <sz val="11"/>
      <color rgb="FFC00000"/>
      <name val="Segoe UI"/>
      <family val="2"/>
    </font>
    <font>
      <b/>
      <sz val="11"/>
      <color rgb="FF000000"/>
      <name val="Segoe UI"/>
      <family val="2"/>
    </font>
    <font>
      <b/>
      <sz val="11"/>
      <color rgb="FF1F4E79"/>
      <name val="Segoe UI"/>
      <family val="2"/>
    </font>
    <font>
      <b/>
      <sz val="10"/>
      <color rgb="FF1F4E79"/>
      <name val="Segoe UI"/>
      <family val="2"/>
    </font>
    <font>
      <b/>
      <sz val="11"/>
      <color rgb="FF333333"/>
      <name val="Segoe UI"/>
      <family val="2"/>
    </font>
    <font>
      <b/>
      <sz val="13"/>
      <color rgb="FF1F4E79"/>
      <name val="Segoe UI"/>
      <family val="2"/>
    </font>
    <font>
      <b/>
      <sz val="11"/>
      <color rgb="FF9C0006"/>
      <name val="Segoe UI"/>
      <family val="2"/>
    </font>
    <font>
      <sz val="11"/>
      <color theme="1"/>
      <name val="Calibri"/>
      <family val="2"/>
      <scheme val="minor"/>
    </font>
    <font>
      <b/>
      <sz val="11"/>
      <color theme="0"/>
      <name val="Calibri"/>
      <family val="2"/>
      <scheme val="minor"/>
    </font>
    <font>
      <b/>
      <sz val="8"/>
      <color rgb="FF333333"/>
      <name val="Segoe UI"/>
      <family val="2"/>
    </font>
    <font>
      <sz val="8"/>
      <color theme="1"/>
      <name val="Calibri"/>
      <family val="2"/>
      <scheme val="minor"/>
    </font>
    <font>
      <b/>
      <sz val="11"/>
      <name val="Segoe UI"/>
      <family val="2"/>
    </font>
    <font>
      <b/>
      <sz val="11"/>
      <color rgb="FFFF0000"/>
      <name val="Segoe UI"/>
      <family val="2"/>
    </font>
    <font>
      <sz val="11"/>
      <name val="Segoe UI"/>
      <family val="2"/>
    </font>
    <font>
      <b/>
      <sz val="11"/>
      <color theme="0"/>
      <name val="Segoe UI"/>
      <family val="2"/>
    </font>
    <font>
      <sz val="11"/>
      <color rgb="FFFF0000"/>
      <name val="Segoe UI"/>
      <family val="2"/>
    </font>
    <font>
      <sz val="10"/>
      <color theme="1"/>
      <name val="Cambria"/>
      <family val="1"/>
      <scheme val="major"/>
    </font>
    <font>
      <sz val="11"/>
      <color theme="1"/>
      <name val="Calibri"/>
      <family val="2"/>
      <charset val="178"/>
      <scheme val="minor"/>
    </font>
    <font>
      <sz val="11"/>
      <color theme="1"/>
      <name val="Cambria"/>
      <family val="1"/>
      <scheme val="major"/>
    </font>
    <font>
      <sz val="10"/>
      <name val="Cambria"/>
      <family val="2"/>
      <scheme val="major"/>
    </font>
    <font>
      <sz val="10"/>
      <color rgb="FFFF0000"/>
      <name val="Cambria"/>
      <family val="2"/>
      <scheme val="major"/>
    </font>
    <font>
      <sz val="10"/>
      <color theme="1"/>
      <name val="Cambria"/>
      <family val="2"/>
      <scheme val="major"/>
    </font>
    <font>
      <sz val="10"/>
      <color theme="1"/>
      <name val="Cambria"/>
      <family val="1"/>
      <charset val="178"/>
      <scheme val="major"/>
    </font>
    <font>
      <sz val="10"/>
      <name val="Cambria"/>
      <family val="1"/>
      <scheme val="major"/>
    </font>
    <font>
      <sz val="18"/>
      <color rgb="FFFF0000"/>
      <name val="Times New Roman"/>
      <family val="1"/>
    </font>
    <font>
      <sz val="10"/>
      <name val="Arial"/>
      <family val="2"/>
    </font>
    <font>
      <sz val="10"/>
      <color rgb="FF000000"/>
      <name val="Times New Roman"/>
      <family val="1"/>
    </font>
    <font>
      <i/>
      <sz val="9"/>
      <name val="Times New Roman"/>
      <family val="1"/>
    </font>
    <font>
      <sz val="8"/>
      <name val="Times New Roman"/>
      <family val="1"/>
    </font>
    <font>
      <b/>
      <sz val="10.5"/>
      <name val="Arial"/>
      <family val="2"/>
    </font>
    <font>
      <b/>
      <sz val="10.5"/>
      <name val="Caladea"/>
      <family val="1"/>
    </font>
    <font>
      <sz val="10"/>
      <color theme="1"/>
      <name val="Calibri"/>
      <family val="2"/>
      <scheme val="minor"/>
    </font>
    <font>
      <sz val="10"/>
      <name val="Times New Roman"/>
      <family val="1"/>
    </font>
    <font>
      <sz val="10"/>
      <color rgb="FFFFFFFF"/>
      <name val="Segoe UI"/>
      <family val="2"/>
    </font>
    <font>
      <sz val="10"/>
      <name val="Caladea"/>
      <family val="1"/>
    </font>
    <font>
      <sz val="11"/>
      <color rgb="FFFFFFFF"/>
      <name val="Segoe UI"/>
      <family val="2"/>
    </font>
    <font>
      <b/>
      <sz val="9"/>
      <color rgb="FF333333"/>
      <name val="Segoe UI"/>
      <family val="2"/>
    </font>
    <font>
      <sz val="9"/>
      <color theme="1"/>
      <name val="Calibri"/>
      <family val="2"/>
      <scheme val="minor"/>
    </font>
    <font>
      <sz val="11"/>
      <color theme="1"/>
      <name val="B Nazanin"/>
      <charset val="178"/>
    </font>
    <font>
      <b/>
      <sz val="14"/>
      <name val="B Nazanin"/>
      <charset val="178"/>
    </font>
    <font>
      <b/>
      <sz val="14"/>
      <color rgb="FFFFFFFF"/>
      <name val="B Nazanin"/>
      <charset val="178"/>
    </font>
    <font>
      <b/>
      <sz val="14"/>
      <color rgb="FF000000"/>
      <name val="B Nazanin"/>
      <charset val="178"/>
    </font>
    <font>
      <b/>
      <sz val="14"/>
      <color rgb="FF1F4E79"/>
      <name val="B Nazanin"/>
      <charset val="178"/>
    </font>
    <font>
      <b/>
      <sz val="14"/>
      <color theme="1"/>
      <name val="B Nazanin"/>
      <charset val="178"/>
    </font>
    <font>
      <sz val="11"/>
      <color theme="1"/>
      <name val="Times New Roman"/>
      <family val="1"/>
    </font>
    <font>
      <b/>
      <sz val="11"/>
      <color theme="1"/>
      <name val="B Nazanin"/>
      <charset val="178"/>
    </font>
    <font>
      <sz val="11"/>
      <color rgb="FF000000"/>
      <name val="B Nazanin"/>
      <charset val="178"/>
    </font>
    <font>
      <sz val="12"/>
      <color theme="1"/>
      <name val="B Nazanin"/>
      <charset val="178"/>
    </font>
    <font>
      <b/>
      <sz val="10"/>
      <color theme="1"/>
      <name val="B Nazanin"/>
      <charset val="178"/>
    </font>
    <font>
      <sz val="14"/>
      <color theme="1"/>
      <name val="B Nazanin"/>
      <charset val="178"/>
    </font>
    <font>
      <b/>
      <sz val="12"/>
      <color rgb="FF333333"/>
      <name val="Segoe UI"/>
      <family val="2"/>
    </font>
    <font>
      <sz val="12"/>
      <color rgb="FF000000"/>
      <name val="Segoe UI"/>
      <family val="2"/>
    </font>
    <font>
      <i/>
      <sz val="12"/>
      <name val="Times New Roman"/>
      <family val="1"/>
    </font>
    <font>
      <sz val="12"/>
      <color theme="1"/>
      <name val="Calibri"/>
      <family val="2"/>
      <scheme val="minor"/>
    </font>
    <font>
      <b/>
      <sz val="14"/>
      <color rgb="FF333333"/>
      <name val="Segoe UI"/>
      <family val="2"/>
    </font>
    <font>
      <b/>
      <sz val="16"/>
      <color rgb="FF333333"/>
      <name val="Segoe UI"/>
      <family val="2"/>
    </font>
    <font>
      <sz val="11"/>
      <name val="Cambria"/>
      <family val="1"/>
      <scheme val="major"/>
    </font>
    <font>
      <b/>
      <sz val="18"/>
      <color rgb="FF1F4E79"/>
      <name val="Segoe UI"/>
      <family val="2"/>
    </font>
    <font>
      <sz val="18"/>
      <color theme="1"/>
      <name val="Calibri"/>
      <family val="2"/>
      <scheme val="minor"/>
    </font>
    <font>
      <b/>
      <sz val="12"/>
      <name val="Segoe UI"/>
      <family val="2"/>
    </font>
    <font>
      <b/>
      <sz val="14"/>
      <color rgb="FF1F4E79"/>
      <name val="Segoe UI"/>
      <family val="2"/>
    </font>
    <font>
      <sz val="14"/>
      <color theme="1"/>
      <name val="Calibri"/>
      <family val="2"/>
      <scheme val="minor"/>
    </font>
    <font>
      <b/>
      <sz val="16"/>
      <color rgb="FF1F4E79"/>
      <name val="Segoe UI"/>
      <family val="2"/>
    </font>
    <font>
      <sz val="16"/>
      <color theme="1"/>
      <name val="Calibri"/>
      <family val="2"/>
      <scheme val="minor"/>
    </font>
    <font>
      <b/>
      <sz val="22"/>
      <color rgb="FFFFFFFF"/>
      <name val="B Nazanin"/>
      <charset val="178"/>
    </font>
    <font>
      <b/>
      <sz val="22"/>
      <color theme="1"/>
      <name val="B Nazanin"/>
      <charset val="178"/>
    </font>
    <font>
      <b/>
      <i/>
      <sz val="22"/>
      <color rgb="FFE0E0E0"/>
      <name val="B Nazanin"/>
      <charset val="178"/>
    </font>
    <font>
      <sz val="14"/>
      <color rgb="FF000000"/>
      <name val="B Nazanin"/>
      <charset val="178"/>
    </font>
    <font>
      <sz val="12"/>
      <color rgb="FF000000"/>
      <name val="B Nazanin"/>
      <charset val="178"/>
    </font>
    <font>
      <b/>
      <sz val="16"/>
      <color rgb="FFFFFFFF"/>
      <name val="Calibri"/>
      <family val="2"/>
    </font>
    <font>
      <b/>
      <i/>
      <sz val="20"/>
      <color rgb="FFE0E0E0"/>
      <name val="Calibri"/>
      <family val="2"/>
    </font>
    <font>
      <b/>
      <sz val="20"/>
      <color theme="1"/>
      <name val="Calibri"/>
      <family val="2"/>
      <scheme val="minor"/>
    </font>
    <font>
      <b/>
      <sz val="12"/>
      <color rgb="FFFFFFFF"/>
      <name val="Calibri"/>
      <family val="2"/>
    </font>
    <font>
      <sz val="12"/>
      <color rgb="FF000000"/>
      <name val="Calibri"/>
      <family val="2"/>
    </font>
    <font>
      <b/>
      <sz val="100"/>
      <name val="B Titr"/>
      <charset val="178"/>
    </font>
    <font>
      <b/>
      <sz val="90"/>
      <name val="B Nazanin"/>
      <charset val="178"/>
    </font>
    <font>
      <b/>
      <sz val="90"/>
      <color rgb="FFFFFFFF"/>
      <name val="B Nazanin"/>
      <charset val="178"/>
    </font>
    <font>
      <b/>
      <sz val="72"/>
      <name val="B Titr"/>
      <charset val="178"/>
    </font>
    <font>
      <b/>
      <sz val="150"/>
      <name val="B Nazanin"/>
      <charset val="178"/>
    </font>
  </fonts>
  <fills count="40">
    <fill>
      <patternFill patternType="none"/>
    </fill>
    <fill>
      <patternFill patternType="gray125"/>
    </fill>
    <fill>
      <patternFill patternType="solid">
        <fgColor rgb="FF1F4E79"/>
        <bgColor rgb="FF1F4E79"/>
      </patternFill>
    </fill>
    <fill>
      <patternFill patternType="solid">
        <fgColor rgb="FFF2F2F2"/>
        <bgColor rgb="FFF2F2F2"/>
      </patternFill>
    </fill>
    <fill>
      <patternFill patternType="solid">
        <fgColor rgb="FFE2EFDA"/>
        <bgColor rgb="FFE2EFDA"/>
      </patternFill>
    </fill>
    <fill>
      <patternFill patternType="solid">
        <fgColor rgb="FFFFFFFF"/>
        <bgColor rgb="FFFFFFFF"/>
      </patternFill>
    </fill>
    <fill>
      <patternFill patternType="solid">
        <fgColor rgb="FFF2F5F9"/>
        <bgColor rgb="FFF2F5F9"/>
      </patternFill>
    </fill>
    <fill>
      <patternFill patternType="solid">
        <fgColor rgb="FFF9FBFD"/>
        <bgColor rgb="FFF9FBFD"/>
      </patternFill>
    </fill>
    <fill>
      <patternFill patternType="solid">
        <fgColor rgb="FFC6D9F1"/>
        <bgColor rgb="FFC6D9F1"/>
      </patternFill>
    </fill>
    <fill>
      <patternFill patternType="solid">
        <fgColor rgb="FFDDEBF7"/>
        <bgColor rgb="FFDDEBF7"/>
      </patternFill>
    </fill>
    <fill>
      <patternFill patternType="solid">
        <fgColor rgb="FFFFD2D2"/>
        <bgColor rgb="FFFFD2D2"/>
      </patternFill>
    </fill>
    <fill>
      <patternFill patternType="solid">
        <fgColor theme="0"/>
        <bgColor rgb="FFF9FBFD"/>
      </patternFill>
    </fill>
    <fill>
      <patternFill patternType="solid">
        <fgColor theme="0"/>
        <bgColor rgb="FFFCE4D6"/>
      </patternFill>
    </fill>
    <fill>
      <patternFill patternType="solid">
        <fgColor theme="0"/>
        <bgColor indexed="64"/>
      </patternFill>
    </fill>
    <fill>
      <patternFill patternType="solid">
        <fgColor theme="0"/>
        <bgColor rgb="FFFFD2D2"/>
      </patternFill>
    </fill>
    <fill>
      <patternFill patternType="solid">
        <fgColor theme="3" tint="-0.249977111117893"/>
        <bgColor rgb="FFF9FBFD"/>
      </patternFill>
    </fill>
    <fill>
      <patternFill patternType="solid">
        <fgColor theme="3" tint="-0.249977111117893"/>
        <bgColor indexed="64"/>
      </patternFill>
    </fill>
    <fill>
      <patternFill patternType="solid">
        <fgColor theme="5" tint="-0.249977111117893"/>
        <bgColor rgb="FF1F4E79"/>
      </patternFill>
    </fill>
    <fill>
      <patternFill patternType="solid">
        <fgColor theme="0"/>
        <bgColor theme="7" tint="0.79998168889431442"/>
      </patternFill>
    </fill>
    <fill>
      <patternFill patternType="solid">
        <fgColor theme="6" tint="-0.499984740745262"/>
        <bgColor rgb="FF1F4E79"/>
      </patternFill>
    </fill>
    <fill>
      <patternFill patternType="solid">
        <fgColor theme="7" tint="-0.499984740745262"/>
        <bgColor rgb="FF1F4E79"/>
      </patternFill>
    </fill>
    <fill>
      <patternFill patternType="solid">
        <fgColor theme="9" tint="-0.249977111117893"/>
        <bgColor rgb="FF1F4E79"/>
      </patternFill>
    </fill>
    <fill>
      <patternFill patternType="solid">
        <fgColor theme="1" tint="0.14999847407452621"/>
        <bgColor rgb="FF1F4E79"/>
      </patternFill>
    </fill>
    <fill>
      <patternFill patternType="solid">
        <fgColor theme="5" tint="0.39997558519241921"/>
        <bgColor rgb="FF1F4E79"/>
      </patternFill>
    </fill>
    <fill>
      <patternFill patternType="solid">
        <fgColor theme="3" tint="0.59999389629810485"/>
        <bgColor rgb="FF1F4E79"/>
      </patternFill>
    </fill>
    <fill>
      <patternFill patternType="solid">
        <fgColor theme="7" tint="0.59999389629810485"/>
        <bgColor rgb="FF1F4E79"/>
      </patternFill>
    </fill>
    <fill>
      <patternFill patternType="solid">
        <fgColor theme="2" tint="-0.249977111117893"/>
        <bgColor rgb="FF1F4E79"/>
      </patternFill>
    </fill>
    <fill>
      <patternFill patternType="solid">
        <fgColor rgb="FF92D050"/>
        <bgColor rgb="FF1F4E79"/>
      </patternFill>
    </fill>
    <fill>
      <patternFill patternType="solid">
        <fgColor theme="8" tint="0.59999389629810485"/>
        <bgColor rgb="FF1F4E79"/>
      </patternFill>
    </fill>
    <fill>
      <patternFill patternType="solid">
        <fgColor theme="8" tint="0.79998168889431442"/>
        <bgColor rgb="FF1F4E79"/>
      </patternFill>
    </fill>
    <fill>
      <patternFill patternType="solid">
        <fgColor theme="5" tint="0.79998168889431442"/>
        <bgColor rgb="FF1F4E79"/>
      </patternFill>
    </fill>
    <fill>
      <patternFill patternType="solid">
        <fgColor theme="7" tint="0.39997558519241921"/>
        <bgColor rgb="FF1F4E79"/>
      </patternFill>
    </fill>
    <fill>
      <patternFill patternType="solid">
        <fgColor theme="0"/>
        <bgColor theme="4" tint="0.79998168889431442"/>
      </patternFill>
    </fill>
    <fill>
      <patternFill patternType="solid">
        <fgColor theme="9" tint="0.79998168889431442"/>
        <bgColor rgb="FF1F4E79"/>
      </patternFill>
    </fill>
    <fill>
      <patternFill patternType="solid">
        <fgColor theme="9" tint="-0.499984740745262"/>
        <bgColor rgb="FF1F4E79"/>
      </patternFill>
    </fill>
    <fill>
      <patternFill patternType="solid">
        <fgColor theme="3" tint="0.79998168889431442"/>
        <bgColor indexed="64"/>
      </patternFill>
    </fill>
    <fill>
      <patternFill patternType="solid">
        <fgColor rgb="FF0F2027"/>
        <bgColor rgb="FF0F2027"/>
      </patternFill>
    </fill>
    <fill>
      <patternFill patternType="solid">
        <fgColor rgb="FF1B365D"/>
        <bgColor rgb="FF1B365D"/>
      </patternFill>
    </fill>
    <fill>
      <patternFill patternType="solid">
        <fgColor rgb="FFF5F8FA"/>
        <bgColor rgb="FFF5F8FA"/>
      </patternFill>
    </fill>
    <fill>
      <patternFill patternType="solid">
        <fgColor theme="0"/>
        <bgColor rgb="FF0F2027"/>
      </patternFill>
    </fill>
  </fills>
  <borders count="64">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top/>
      <bottom/>
      <diagonal/>
    </border>
    <border>
      <left style="medium">
        <color rgb="FF41719C"/>
      </left>
      <right style="medium">
        <color rgb="FF41719C"/>
      </right>
      <top style="medium">
        <color rgb="FF41719C"/>
      </top>
      <bottom style="medium">
        <color rgb="FF41719C"/>
      </bottom>
      <diagonal/>
    </border>
    <border>
      <left/>
      <right/>
      <top style="thin">
        <color rgb="FFD9D9D9"/>
      </top>
      <bottom style="thin">
        <color rgb="FFD9D9D9"/>
      </bottom>
      <diagonal/>
    </border>
    <border>
      <left/>
      <right/>
      <top/>
      <bottom style="thin">
        <color rgb="FF1F4E79"/>
      </bottom>
      <diagonal/>
    </border>
    <border>
      <left/>
      <right style="medium">
        <color rgb="FF41719C"/>
      </right>
      <top style="medium">
        <color rgb="FF41719C"/>
      </top>
      <bottom style="medium">
        <color rgb="FF41719C"/>
      </bottom>
      <diagonal/>
    </border>
    <border>
      <left style="thin">
        <color rgb="FFFFFFFF"/>
      </left>
      <right/>
      <top style="medium">
        <color rgb="FF1F4E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double">
        <color rgb="FF1F4E79"/>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rgb="FF41719C"/>
      </right>
      <top style="medium">
        <color rgb="FF41719C"/>
      </top>
      <bottom style="medium">
        <color rgb="FF41719C"/>
      </bottom>
      <diagonal/>
    </border>
    <border>
      <left style="medium">
        <color indexed="64"/>
      </left>
      <right/>
      <top/>
      <bottom style="thin">
        <color rgb="FF1F4E79"/>
      </bottom>
      <diagonal/>
    </border>
    <border>
      <left/>
      <right style="medium">
        <color indexed="64"/>
      </right>
      <top/>
      <bottom style="thin">
        <color rgb="FF1F4E79"/>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1F4E79"/>
      </bottom>
      <diagonal/>
    </border>
    <border>
      <left/>
      <right/>
      <top style="medium">
        <color indexed="64"/>
      </top>
      <bottom style="thin">
        <color rgb="FF1F4E79"/>
      </bottom>
      <diagonal/>
    </border>
    <border>
      <left/>
      <right style="medium">
        <color indexed="64"/>
      </right>
      <top style="medium">
        <color indexed="64"/>
      </top>
      <bottom style="thin">
        <color rgb="FF1F4E7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FFFFFF"/>
      </left>
      <right style="thin">
        <color rgb="FFFFFFFF"/>
      </right>
      <top style="medium">
        <color rgb="FF1F4E79"/>
      </top>
      <bottom/>
      <diagonal/>
    </border>
    <border>
      <left style="medium">
        <color indexed="64"/>
      </left>
      <right style="thin">
        <color rgb="FFFFFFFF"/>
      </right>
      <top style="medium">
        <color rgb="FF1F4E79"/>
      </top>
      <bottom/>
      <diagonal/>
    </border>
    <border>
      <left style="thin">
        <color rgb="FFFFFFFF"/>
      </left>
      <right style="medium">
        <color indexed="64"/>
      </right>
      <top style="medium">
        <color rgb="FF1F4E79"/>
      </top>
      <bottom/>
      <diagonal/>
    </border>
    <border>
      <left style="medium">
        <color indexed="64"/>
      </left>
      <right/>
      <top style="medium">
        <color rgb="FF1F4E79"/>
      </top>
      <bottom/>
      <diagonal/>
    </border>
    <border>
      <left/>
      <right/>
      <top style="thin">
        <color indexed="64"/>
      </top>
      <bottom style="medium">
        <color indexed="64"/>
      </bottom>
      <diagonal/>
    </border>
    <border>
      <left style="thin">
        <color rgb="FFFFFFFF"/>
      </left>
      <right/>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thin">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6">
    <xf numFmtId="0" fontId="0" fillId="0" borderId="0"/>
    <xf numFmtId="0" fontId="12" fillId="0" borderId="3"/>
    <xf numFmtId="0" fontId="22" fillId="0" borderId="3"/>
    <xf numFmtId="0" fontId="12" fillId="0" borderId="3"/>
    <xf numFmtId="0" fontId="30" fillId="0" borderId="3"/>
    <xf numFmtId="0" fontId="12" fillId="0" borderId="3"/>
  </cellStyleXfs>
  <cellXfs count="507">
    <xf numFmtId="0" fontId="0" fillId="0" borderId="0" xfId="0"/>
    <xf numFmtId="0" fontId="0" fillId="5" borderId="3" xfId="0" applyFill="1" applyBorder="1"/>
    <xf numFmtId="0" fontId="0" fillId="0" borderId="0" xfId="0" applyAlignment="1">
      <alignment horizontal="center"/>
    </xf>
    <xf numFmtId="0" fontId="0" fillId="5" borderId="3" xfId="0" applyFill="1" applyBorder="1" applyAlignment="1">
      <alignment horizontal="center"/>
    </xf>
    <xf numFmtId="0" fontId="0" fillId="0" borderId="0" xfId="0" applyAlignment="1">
      <alignment horizontal="center" vertical="center"/>
    </xf>
    <xf numFmtId="0" fontId="0" fillId="5" borderId="3" xfId="0" applyFill="1" applyBorder="1" applyAlignment="1">
      <alignment horizontal="center" vertical="center"/>
    </xf>
    <xf numFmtId="4" fontId="0" fillId="0" borderId="0" xfId="0" applyNumberFormat="1"/>
    <xf numFmtId="0" fontId="21" fillId="0" borderId="9" xfId="1" applyFont="1" applyBorder="1" applyAlignment="1">
      <alignment horizontal="left" vertical="center" wrapText="1"/>
    </xf>
    <xf numFmtId="0" fontId="23" fillId="0" borderId="9" xfId="2" applyFont="1" applyBorder="1" applyAlignment="1">
      <alignment horizontal="left" vertical="center" wrapText="1"/>
    </xf>
    <xf numFmtId="0" fontId="2" fillId="7" borderId="9" xfId="0" applyFont="1" applyFill="1" applyBorder="1" applyAlignment="1">
      <alignment horizontal="center" vertical="center" wrapText="1"/>
    </xf>
    <xf numFmtId="0" fontId="2" fillId="7" borderId="9" xfId="0" applyFont="1" applyFill="1" applyBorder="1" applyAlignment="1">
      <alignment horizontal="left" vertical="center" wrapText="1"/>
    </xf>
    <xf numFmtId="3" fontId="2" fillId="7" borderId="9" xfId="0" applyNumberFormat="1" applyFont="1" applyFill="1" applyBorder="1" applyAlignment="1">
      <alignment horizontal="center" vertical="center" wrapText="1"/>
    </xf>
    <xf numFmtId="3" fontId="2" fillId="7" borderId="9" xfId="0" applyNumberFormat="1" applyFont="1" applyFill="1" applyBorder="1" applyAlignment="1">
      <alignment horizontal="center" vertical="center"/>
    </xf>
    <xf numFmtId="4" fontId="2" fillId="7" borderId="9" xfId="0" applyNumberFormat="1" applyFont="1" applyFill="1" applyBorder="1" applyAlignment="1">
      <alignment horizontal="center" vertical="center"/>
    </xf>
    <xf numFmtId="0" fontId="2" fillId="5" borderId="9" xfId="0" applyFont="1" applyFill="1" applyBorder="1" applyAlignment="1">
      <alignment horizontal="center" vertical="center" wrapText="1"/>
    </xf>
    <xf numFmtId="0" fontId="2" fillId="5" borderId="9" xfId="0" applyFont="1" applyFill="1" applyBorder="1" applyAlignment="1">
      <alignment horizontal="left" vertical="center" wrapText="1"/>
    </xf>
    <xf numFmtId="3" fontId="2" fillId="5" borderId="9" xfId="0" applyNumberFormat="1" applyFont="1" applyFill="1" applyBorder="1" applyAlignment="1">
      <alignment horizontal="center" vertical="center" wrapText="1"/>
    </xf>
    <xf numFmtId="3" fontId="2" fillId="5" borderId="9" xfId="0" applyNumberFormat="1" applyFont="1" applyFill="1" applyBorder="1" applyAlignment="1">
      <alignment horizontal="center" vertical="center"/>
    </xf>
    <xf numFmtId="4" fontId="2" fillId="5" borderId="9" xfId="0" applyNumberFormat="1" applyFont="1" applyFill="1" applyBorder="1" applyAlignment="1">
      <alignment horizontal="center" vertical="center"/>
    </xf>
    <xf numFmtId="0" fontId="2" fillId="0" borderId="9" xfId="0" applyFont="1" applyFill="1" applyBorder="1" applyAlignment="1">
      <alignment horizontal="center" vertical="center" wrapText="1"/>
    </xf>
    <xf numFmtId="0" fontId="2" fillId="0" borderId="9" xfId="0" applyFont="1" applyFill="1" applyBorder="1" applyAlignment="1">
      <alignment horizontal="left" vertical="center" wrapText="1"/>
    </xf>
    <xf numFmtId="3" fontId="16" fillId="0" borderId="9" xfId="0" applyNumberFormat="1" applyFont="1" applyFill="1" applyBorder="1" applyAlignment="1">
      <alignment horizontal="center" vertical="center" wrapText="1"/>
    </xf>
    <xf numFmtId="3" fontId="2" fillId="0" borderId="9" xfId="0" applyNumberFormat="1" applyFont="1" applyFill="1" applyBorder="1" applyAlignment="1">
      <alignment horizontal="center" vertical="center"/>
    </xf>
    <xf numFmtId="4" fontId="2" fillId="0" borderId="9" xfId="0" applyNumberFormat="1" applyFont="1" applyFill="1" applyBorder="1" applyAlignment="1">
      <alignment horizontal="center" vertical="center"/>
    </xf>
    <xf numFmtId="0" fontId="21" fillId="0" borderId="9" xfId="2" applyFont="1" applyBorder="1" applyAlignment="1">
      <alignment horizontal="center" vertical="center"/>
    </xf>
    <xf numFmtId="0" fontId="28" fillId="0" borderId="9" xfId="2" applyFont="1" applyBorder="1" applyAlignment="1">
      <alignment horizontal="center" vertical="center" wrapText="1"/>
    </xf>
    <xf numFmtId="0" fontId="26" fillId="13" borderId="9" xfId="2" applyFont="1" applyFill="1" applyBorder="1" applyAlignment="1">
      <alignment horizontal="center" vertical="center" wrapText="1"/>
    </xf>
    <xf numFmtId="0" fontId="21" fillId="0" borderId="11" xfId="2" applyFont="1" applyBorder="1" applyAlignment="1">
      <alignment horizontal="center" vertical="center" wrapText="1"/>
    </xf>
    <xf numFmtId="0" fontId="5" fillId="10" borderId="9" xfId="0" applyFont="1" applyFill="1" applyBorder="1" applyAlignment="1">
      <alignment horizontal="left" vertical="center" wrapText="1"/>
    </xf>
    <xf numFmtId="0" fontId="5" fillId="10" borderId="9" xfId="0" applyFont="1" applyFill="1" applyBorder="1" applyAlignment="1">
      <alignment horizontal="center" vertical="center" wrapText="1"/>
    </xf>
    <xf numFmtId="3" fontId="11" fillId="10" borderId="9" xfId="0" applyNumberFormat="1" applyFont="1" applyFill="1" applyBorder="1" applyAlignment="1">
      <alignment horizontal="center" vertical="center" wrapText="1"/>
    </xf>
    <xf numFmtId="3" fontId="5" fillId="10" borderId="9" xfId="0" applyNumberFormat="1" applyFont="1" applyFill="1" applyBorder="1" applyAlignment="1">
      <alignment horizontal="center" vertical="center"/>
    </xf>
    <xf numFmtId="4" fontId="11" fillId="10" borderId="9" xfId="0" applyNumberFormat="1" applyFont="1" applyFill="1" applyBorder="1" applyAlignment="1">
      <alignment horizontal="center" vertical="center"/>
    </xf>
    <xf numFmtId="4" fontId="20" fillId="5" borderId="9" xfId="0" applyNumberFormat="1" applyFont="1" applyFill="1" applyBorder="1" applyAlignment="1">
      <alignment horizontal="center" vertical="center"/>
    </xf>
    <xf numFmtId="0" fontId="3" fillId="2" borderId="9" xfId="0" applyFont="1" applyFill="1" applyBorder="1" applyAlignment="1">
      <alignment horizontal="center" vertical="center" wrapText="1"/>
    </xf>
    <xf numFmtId="0" fontId="0" fillId="0" borderId="3" xfId="0" applyBorder="1" applyAlignment="1">
      <alignment horizontal="center" vertical="center"/>
    </xf>
    <xf numFmtId="0" fontId="28" fillId="0" borderId="11" xfId="2" applyFont="1" applyBorder="1" applyAlignment="1">
      <alignment horizontal="center" vertical="center" wrapText="1"/>
    </xf>
    <xf numFmtId="0" fontId="0" fillId="0" borderId="11" xfId="0" applyBorder="1" applyAlignment="1">
      <alignment horizontal="center" vertical="center"/>
    </xf>
    <xf numFmtId="0" fontId="1" fillId="0" borderId="21" xfId="0" applyFont="1" applyFill="1" applyBorder="1" applyAlignment="1">
      <alignment horizontal="center" vertical="center" wrapText="1"/>
    </xf>
    <xf numFmtId="0" fontId="0" fillId="0" borderId="3" xfId="0" applyFill="1" applyBorder="1"/>
    <xf numFmtId="0" fontId="0" fillId="5" borderId="15" xfId="0" applyFill="1" applyBorder="1" applyAlignment="1">
      <alignment horizontal="center"/>
    </xf>
    <xf numFmtId="0" fontId="0" fillId="5" borderId="22" xfId="0" applyFill="1" applyBorder="1"/>
    <xf numFmtId="0" fontId="0" fillId="0" borderId="22" xfId="0" applyBorder="1"/>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2" fillId="7" borderId="26" xfId="0" applyFont="1" applyFill="1" applyBorder="1" applyAlignment="1">
      <alignment horizontal="center" vertical="center" wrapText="1"/>
    </xf>
    <xf numFmtId="4" fontId="2" fillId="7" borderId="27" xfId="0" applyNumberFormat="1" applyFont="1" applyFill="1" applyBorder="1" applyAlignment="1">
      <alignment horizontal="center" vertical="center"/>
    </xf>
    <xf numFmtId="0" fontId="2" fillId="5" borderId="26" xfId="0" applyFont="1" applyFill="1" applyBorder="1" applyAlignment="1">
      <alignment horizontal="center" vertical="center" wrapText="1"/>
    </xf>
    <xf numFmtId="4" fontId="2" fillId="5" borderId="27" xfId="0" applyNumberFormat="1" applyFont="1" applyFill="1" applyBorder="1" applyAlignment="1">
      <alignment horizontal="center" vertical="center"/>
    </xf>
    <xf numFmtId="0" fontId="0" fillId="0" borderId="0" xfId="0"/>
    <xf numFmtId="0" fontId="26" fillId="0" borderId="9" xfId="2" applyFont="1" applyBorder="1" applyAlignment="1">
      <alignment horizontal="center" vertical="center" wrapText="1"/>
    </xf>
    <xf numFmtId="0" fontId="24" fillId="0" borderId="9" xfId="2" applyFont="1" applyBorder="1" applyAlignment="1">
      <alignment horizontal="center" vertical="center" wrapText="1"/>
    </xf>
    <xf numFmtId="0" fontId="0" fillId="0" borderId="3" xfId="0" applyBorder="1"/>
    <xf numFmtId="0" fontId="0" fillId="0" borderId="3" xfId="0" applyBorder="1" applyAlignment="1">
      <alignment horizontal="center"/>
    </xf>
    <xf numFmtId="0" fontId="0" fillId="0" borderId="15" xfId="0" applyBorder="1" applyAlignment="1">
      <alignment horizontal="center"/>
    </xf>
    <xf numFmtId="0" fontId="0" fillId="0" borderId="0" xfId="0" applyAlignment="1">
      <alignment horizontal="center" vertical="center"/>
    </xf>
    <xf numFmtId="3" fontId="6" fillId="8" borderId="29" xfId="0" applyNumberFormat="1" applyFont="1" applyFill="1" applyBorder="1" applyAlignment="1">
      <alignment horizontal="center" vertical="center"/>
    </xf>
    <xf numFmtId="0" fontId="6" fillId="8" borderId="29" xfId="0" applyFont="1" applyFill="1" applyBorder="1" applyAlignment="1">
      <alignment horizontal="center" vertical="center"/>
    </xf>
    <xf numFmtId="164" fontId="6" fillId="8" borderId="29" xfId="0" applyNumberFormat="1" applyFont="1" applyFill="1" applyBorder="1" applyAlignment="1">
      <alignment horizontal="center" vertical="center"/>
    </xf>
    <xf numFmtId="4" fontId="6" fillId="8" borderId="30" xfId="0" applyNumberFormat="1" applyFont="1" applyFill="1" applyBorder="1" applyAlignment="1">
      <alignment horizontal="center" vertical="center"/>
    </xf>
    <xf numFmtId="0" fontId="31" fillId="0" borderId="9" xfId="0" applyFont="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32" fillId="0" borderId="11" xfId="0" applyFont="1" applyBorder="1" applyAlignment="1">
      <alignment horizontal="center" vertical="center" wrapText="1"/>
    </xf>
    <xf numFmtId="0" fontId="3" fillId="2" borderId="36"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3" fillId="0" borderId="9" xfId="0" applyFont="1" applyBorder="1" applyAlignment="1">
      <alignment horizontal="center" vertical="center" wrapText="1"/>
    </xf>
    <xf numFmtId="0" fontId="0" fillId="0" borderId="15" xfId="0" applyBorder="1" applyAlignment="1">
      <alignment horizontal="center" vertical="center"/>
    </xf>
    <xf numFmtId="0" fontId="3" fillId="2" borderId="37"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6" fillId="0" borderId="0" xfId="0" applyFont="1" applyAlignment="1">
      <alignment horizontal="center" vertical="center"/>
    </xf>
    <xf numFmtId="0" fontId="45" fillId="2" borderId="8" xfId="0" applyFont="1" applyFill="1" applyBorder="1" applyAlignment="1">
      <alignment horizontal="center" vertical="center" wrapText="1"/>
    </xf>
    <xf numFmtId="0" fontId="45" fillId="17" borderId="10" xfId="0" applyFont="1" applyFill="1" applyBorder="1" applyAlignment="1">
      <alignment horizontal="center" vertical="center" wrapText="1"/>
    </xf>
    <xf numFmtId="0" fontId="45" fillId="21" borderId="10" xfId="0" applyFont="1" applyFill="1" applyBorder="1" applyAlignment="1">
      <alignment horizontal="center" vertical="center" wrapText="1"/>
    </xf>
    <xf numFmtId="0" fontId="45" fillId="22" borderId="10" xfId="0" applyFont="1" applyFill="1" applyBorder="1" applyAlignment="1">
      <alignment horizontal="center" vertical="center" wrapText="1"/>
    </xf>
    <xf numFmtId="0" fontId="46" fillId="8" borderId="19" xfId="0" applyFont="1" applyFill="1" applyBorder="1" applyAlignment="1">
      <alignment vertical="center" wrapText="1"/>
    </xf>
    <xf numFmtId="0" fontId="48" fillId="0" borderId="0" xfId="0" applyFont="1"/>
    <xf numFmtId="0" fontId="48" fillId="0" borderId="3" xfId="0" applyFont="1" applyBorder="1"/>
    <xf numFmtId="0" fontId="21" fillId="0" borderId="9" xfId="2" applyFont="1" applyBorder="1" applyAlignment="1">
      <alignment horizontal="center" vertical="center" wrapText="1"/>
    </xf>
    <xf numFmtId="4" fontId="2" fillId="11" borderId="9" xfId="0" applyNumberFormat="1" applyFont="1" applyFill="1" applyBorder="1" applyAlignment="1">
      <alignment horizontal="center" vertical="center"/>
    </xf>
    <xf numFmtId="3" fontId="2" fillId="11" borderId="9" xfId="0" applyNumberFormat="1" applyFont="1" applyFill="1" applyBorder="1" applyAlignment="1">
      <alignment horizontal="center" vertical="center"/>
    </xf>
    <xf numFmtId="0" fontId="50" fillId="0" borderId="9" xfId="0" applyFont="1" applyBorder="1" applyAlignment="1">
      <alignment horizontal="center" vertical="center" wrapText="1"/>
    </xf>
    <xf numFmtId="0" fontId="1" fillId="0" borderId="3" xfId="0" applyFont="1" applyFill="1" applyBorder="1" applyAlignment="1">
      <alignment horizontal="center" vertical="center" wrapText="1"/>
    </xf>
    <xf numFmtId="0" fontId="0" fillId="0" borderId="0" xfId="0" applyFill="1"/>
    <xf numFmtId="4" fontId="2" fillId="11" borderId="27" xfId="0" applyNumberFormat="1" applyFont="1" applyFill="1" applyBorder="1" applyAlignment="1">
      <alignment horizontal="center" vertical="center"/>
    </xf>
    <xf numFmtId="4" fontId="11" fillId="10" borderId="27" xfId="0" applyNumberFormat="1" applyFont="1" applyFill="1" applyBorder="1" applyAlignment="1">
      <alignment horizontal="center" vertical="center"/>
    </xf>
    <xf numFmtId="0" fontId="6" fillId="8" borderId="3" xfId="0" applyFont="1" applyFill="1" applyBorder="1" applyAlignment="1">
      <alignment horizontal="center" vertical="center"/>
    </xf>
    <xf numFmtId="0" fontId="46" fillId="0" borderId="3" xfId="0" applyFont="1" applyFill="1" applyBorder="1" applyAlignment="1">
      <alignment vertical="center" wrapText="1"/>
    </xf>
    <xf numFmtId="0" fontId="6" fillId="0" borderId="3" xfId="0" applyFont="1" applyFill="1" applyBorder="1" applyAlignment="1">
      <alignment vertical="center" wrapText="1"/>
    </xf>
    <xf numFmtId="0" fontId="6" fillId="0" borderId="3" xfId="0" applyFont="1" applyFill="1" applyBorder="1" applyAlignment="1">
      <alignment horizontal="center" vertical="center" wrapText="1"/>
    </xf>
    <xf numFmtId="3" fontId="6" fillId="0" borderId="3" xfId="0" applyNumberFormat="1" applyFont="1" applyFill="1" applyBorder="1" applyAlignment="1">
      <alignment horizontal="center" vertical="center"/>
    </xf>
    <xf numFmtId="0" fontId="6" fillId="0" borderId="3" xfId="0" applyFont="1" applyFill="1" applyBorder="1" applyAlignment="1">
      <alignment horizontal="center" vertical="center"/>
    </xf>
    <xf numFmtId="164" fontId="6" fillId="0" borderId="3" xfId="0" applyNumberFormat="1" applyFont="1" applyFill="1" applyBorder="1" applyAlignment="1">
      <alignment horizontal="center" vertical="center"/>
    </xf>
    <xf numFmtId="4" fontId="6" fillId="0" borderId="3" xfId="0" applyNumberFormat="1" applyFont="1" applyFill="1" applyBorder="1" applyAlignment="1">
      <alignment horizontal="center" vertical="center"/>
    </xf>
    <xf numFmtId="0" fontId="0" fillId="0" borderId="0" xfId="0" applyFill="1" applyAlignment="1">
      <alignment horizontal="center" vertical="center"/>
    </xf>
    <xf numFmtId="0" fontId="45" fillId="19" borderId="10" xfId="0" applyFont="1" applyFill="1" applyBorder="1" applyAlignment="1">
      <alignment horizontal="center" vertical="center" wrapText="1"/>
    </xf>
    <xf numFmtId="0" fontId="3" fillId="17" borderId="11"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2" fillId="0" borderId="26" xfId="0" applyFont="1" applyFill="1" applyBorder="1" applyAlignment="1">
      <alignment horizontal="center" vertical="center" wrapText="1"/>
    </xf>
    <xf numFmtId="4" fontId="2" fillId="0" borderId="27" xfId="0" applyNumberFormat="1" applyFont="1" applyFill="1" applyBorder="1" applyAlignment="1">
      <alignment horizontal="center" vertical="center"/>
    </xf>
    <xf numFmtId="0" fontId="6" fillId="8" borderId="28" xfId="0" applyFont="1" applyFill="1" applyBorder="1" applyAlignment="1">
      <alignment vertical="center" wrapText="1"/>
    </xf>
    <xf numFmtId="0" fontId="6" fillId="8" borderId="29" xfId="0" applyFont="1" applyFill="1" applyBorder="1" applyAlignment="1">
      <alignment vertical="center" wrapText="1"/>
    </xf>
    <xf numFmtId="0" fontId="47" fillId="0" borderId="6" xfId="0" applyFont="1" applyFill="1" applyBorder="1" applyAlignment="1">
      <alignment vertical="center" wrapText="1"/>
    </xf>
    <xf numFmtId="0" fontId="45" fillId="20" borderId="10" xfId="0" applyFont="1" applyFill="1" applyBorder="1" applyAlignment="1">
      <alignment horizontal="center" vertical="center" wrapText="1"/>
    </xf>
    <xf numFmtId="0" fontId="7" fillId="9" borderId="31" xfId="0" applyFont="1" applyFill="1" applyBorder="1" applyAlignment="1">
      <alignment vertical="center" wrapText="1"/>
    </xf>
    <xf numFmtId="0" fontId="7" fillId="9" borderId="32" xfId="0" applyFont="1" applyFill="1" applyBorder="1" applyAlignment="1">
      <alignment vertical="center" wrapText="1"/>
    </xf>
    <xf numFmtId="0" fontId="0" fillId="0" borderId="0" xfId="0" applyAlignment="1">
      <alignment horizontal="left"/>
    </xf>
    <xf numFmtId="0" fontId="0" fillId="5" borderId="3" xfId="0" applyFill="1" applyBorder="1" applyAlignment="1">
      <alignment horizontal="left"/>
    </xf>
    <xf numFmtId="0" fontId="0" fillId="0" borderId="3" xfId="0" applyBorder="1" applyAlignment="1">
      <alignment horizontal="left"/>
    </xf>
    <xf numFmtId="0" fontId="3" fillId="2" borderId="9" xfId="0" applyFont="1" applyFill="1" applyBorder="1" applyAlignment="1">
      <alignment horizontal="left" vertical="center" wrapText="1"/>
    </xf>
    <xf numFmtId="3" fontId="6" fillId="8" borderId="29" xfId="0" applyNumberFormat="1" applyFont="1" applyFill="1" applyBorder="1" applyAlignment="1">
      <alignment horizontal="right" vertical="center"/>
    </xf>
    <xf numFmtId="0" fontId="51" fillId="5" borderId="9" xfId="0" applyFont="1" applyFill="1" applyBorder="1" applyAlignment="1">
      <alignment horizontal="center" vertical="center" wrapText="1"/>
    </xf>
    <xf numFmtId="0" fontId="45" fillId="2" borderId="4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0" fillId="0" borderId="3" xfId="0" applyBorder="1" applyAlignment="1"/>
    <xf numFmtId="0" fontId="54" fillId="0" borderId="9" xfId="0" applyFont="1" applyBorder="1" applyAlignment="1">
      <alignment horizontal="center" vertical="center"/>
    </xf>
    <xf numFmtId="0" fontId="32" fillId="0" borderId="9" xfId="0" applyFont="1" applyBorder="1" applyAlignment="1">
      <alignment horizontal="center" vertical="center" wrapText="1"/>
    </xf>
    <xf numFmtId="0" fontId="56" fillId="7" borderId="26" xfId="0" applyFont="1" applyFill="1" applyBorder="1" applyAlignment="1">
      <alignment horizontal="center" vertical="center" wrapText="1"/>
    </xf>
    <xf numFmtId="0" fontId="57" fillId="0" borderId="9" xfId="0" applyFont="1" applyBorder="1" applyAlignment="1">
      <alignment horizontal="center" vertical="center" wrapText="1"/>
    </xf>
    <xf numFmtId="0" fontId="56" fillId="7" borderId="9" xfId="0" applyFont="1" applyFill="1" applyBorder="1" applyAlignment="1">
      <alignment horizontal="left" vertical="center" wrapText="1"/>
    </xf>
    <xf numFmtId="0" fontId="56" fillId="7" borderId="9" xfId="0" applyFont="1" applyFill="1" applyBorder="1" applyAlignment="1">
      <alignment horizontal="center" vertical="center" wrapText="1"/>
    </xf>
    <xf numFmtId="3" fontId="56" fillId="7" borderId="9" xfId="0" applyNumberFormat="1" applyFont="1" applyFill="1" applyBorder="1" applyAlignment="1">
      <alignment horizontal="center" vertical="center" wrapText="1"/>
    </xf>
    <xf numFmtId="3" fontId="56" fillId="7" borderId="9" xfId="0" applyNumberFormat="1" applyFont="1" applyFill="1" applyBorder="1" applyAlignment="1">
      <alignment horizontal="center" vertical="center"/>
    </xf>
    <xf numFmtId="4" fontId="56" fillId="7" borderId="9" xfId="0" applyNumberFormat="1" applyFont="1" applyFill="1" applyBorder="1" applyAlignment="1">
      <alignment horizontal="center" vertical="center"/>
    </xf>
    <xf numFmtId="4" fontId="56" fillId="7" borderId="27" xfId="0" applyNumberFormat="1" applyFont="1" applyFill="1" applyBorder="1" applyAlignment="1">
      <alignment horizontal="center" vertical="center"/>
    </xf>
    <xf numFmtId="0" fontId="58" fillId="0" borderId="11" xfId="0" applyFont="1" applyBorder="1" applyAlignment="1">
      <alignment horizontal="center" vertical="center" wrapText="1"/>
    </xf>
    <xf numFmtId="0" fontId="16" fillId="12" borderId="9" xfId="0" applyFont="1" applyFill="1" applyBorder="1" applyAlignment="1">
      <alignment horizontal="left" vertical="center" wrapText="1"/>
    </xf>
    <xf numFmtId="3" fontId="16" fillId="12" borderId="9" xfId="0" applyNumberFormat="1" applyFont="1" applyFill="1" applyBorder="1" applyAlignment="1">
      <alignment horizontal="center" vertical="center"/>
    </xf>
    <xf numFmtId="0" fontId="18" fillId="14" borderId="9" xfId="0" applyFont="1" applyFill="1" applyBorder="1" applyAlignment="1">
      <alignment horizontal="left" vertical="center" wrapText="1"/>
    </xf>
    <xf numFmtId="3" fontId="16" fillId="14" borderId="9" xfId="0" applyNumberFormat="1" applyFont="1" applyFill="1" applyBorder="1" applyAlignment="1">
      <alignment horizontal="center" vertical="center"/>
    </xf>
    <xf numFmtId="3" fontId="6" fillId="8" borderId="9" xfId="0" applyNumberFormat="1" applyFont="1" applyFill="1" applyBorder="1" applyAlignment="1">
      <alignment horizontal="center" vertical="center"/>
    </xf>
    <xf numFmtId="0" fontId="16" fillId="12" borderId="26" xfId="0" applyFont="1" applyFill="1" applyBorder="1" applyAlignment="1">
      <alignment horizontal="center" vertical="center" wrapText="1"/>
    </xf>
    <xf numFmtId="0" fontId="18" fillId="14" borderId="26" xfId="0" applyFont="1" applyFill="1" applyBorder="1" applyAlignment="1">
      <alignment horizontal="center" vertical="center" wrapText="1"/>
    </xf>
    <xf numFmtId="3" fontId="19" fillId="15" borderId="57" xfId="0" applyNumberFormat="1" applyFont="1" applyFill="1" applyBorder="1" applyAlignment="1">
      <alignment horizontal="center" vertical="center"/>
    </xf>
    <xf numFmtId="4" fontId="19" fillId="15" borderId="57" xfId="0" applyNumberFormat="1" applyFont="1" applyFill="1" applyBorder="1" applyAlignment="1">
      <alignment horizontal="center" vertical="center"/>
    </xf>
    <xf numFmtId="0" fontId="48" fillId="0" borderId="20" xfId="0" applyFont="1" applyBorder="1"/>
    <xf numFmtId="0" fontId="0" fillId="0" borderId="21" xfId="0" applyBorder="1" applyAlignment="1">
      <alignment horizontal="center" vertical="center"/>
    </xf>
    <xf numFmtId="0" fontId="0" fillId="0" borderId="14" xfId="0" applyBorder="1" applyAlignment="1">
      <alignment horizontal="center" vertical="center"/>
    </xf>
    <xf numFmtId="0" fontId="48" fillId="0" borderId="22" xfId="0" applyFont="1" applyBorder="1"/>
    <xf numFmtId="0" fontId="48" fillId="0" borderId="28" xfId="0" applyFont="1" applyBorder="1"/>
    <xf numFmtId="0" fontId="0" fillId="0" borderId="29" xfId="0" applyBorder="1" applyAlignment="1">
      <alignment horizontal="center" vertical="center"/>
    </xf>
    <xf numFmtId="0" fontId="0" fillId="0" borderId="30" xfId="0" applyBorder="1" applyAlignment="1">
      <alignment horizontal="center" vertical="center"/>
    </xf>
    <xf numFmtId="0" fontId="56" fillId="5" borderId="9" xfId="0" applyFont="1" applyFill="1" applyBorder="1" applyAlignment="1">
      <alignment horizontal="center" vertical="center" wrapText="1"/>
    </xf>
    <xf numFmtId="3" fontId="56" fillId="5" borderId="9" xfId="0" applyNumberFormat="1" applyFont="1" applyFill="1" applyBorder="1" applyAlignment="1">
      <alignment horizontal="center" vertical="center" wrapText="1"/>
    </xf>
    <xf numFmtId="3" fontId="56" fillId="5" borderId="9" xfId="0" applyNumberFormat="1" applyFont="1" applyFill="1" applyBorder="1" applyAlignment="1">
      <alignment horizontal="center" vertical="center"/>
    </xf>
    <xf numFmtId="4" fontId="56" fillId="5" borderId="9" xfId="0" applyNumberFormat="1" applyFont="1" applyFill="1" applyBorder="1" applyAlignment="1">
      <alignment horizontal="center" vertical="center"/>
    </xf>
    <xf numFmtId="4" fontId="56" fillId="5" borderId="27" xfId="0" applyNumberFormat="1"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0" fillId="0" borderId="27" xfId="0" applyBorder="1" applyAlignment="1">
      <alignment horizontal="center" vertical="center"/>
    </xf>
    <xf numFmtId="0" fontId="0" fillId="0" borderId="26" xfId="0" applyBorder="1"/>
    <xf numFmtId="0" fontId="0" fillId="0" borderId="9" xfId="0" applyBorder="1"/>
    <xf numFmtId="0" fontId="0" fillId="0" borderId="27" xfId="0" applyBorder="1"/>
    <xf numFmtId="4" fontId="6" fillId="8" borderId="9" xfId="0" applyNumberFormat="1" applyFont="1" applyFill="1" applyBorder="1" applyAlignment="1">
      <alignment horizontal="right" vertical="center"/>
    </xf>
    <xf numFmtId="0" fontId="26" fillId="0" borderId="9" xfId="2" applyFont="1" applyBorder="1" applyAlignment="1">
      <alignment horizontal="center" vertical="center" wrapText="1"/>
    </xf>
    <xf numFmtId="0" fontId="24" fillId="0" borderId="9" xfId="2" applyFont="1" applyBorder="1" applyAlignment="1">
      <alignment horizontal="center" vertical="center" wrapText="1"/>
    </xf>
    <xf numFmtId="0" fontId="0" fillId="0" borderId="29" xfId="0" applyBorder="1"/>
    <xf numFmtId="0" fontId="0" fillId="0" borderId="15" xfId="0" applyBorder="1" applyAlignment="1">
      <alignment horizontal="center"/>
    </xf>
    <xf numFmtId="0" fontId="0" fillId="0" borderId="3" xfId="0" applyBorder="1"/>
    <xf numFmtId="0" fontId="0" fillId="0" borderId="3" xfId="0" applyBorder="1" applyAlignment="1">
      <alignment horizontal="center"/>
    </xf>
    <xf numFmtId="0" fontId="0" fillId="0" borderId="3" xfId="0" applyBorder="1" applyAlignment="1">
      <alignment horizontal="center" vertical="center"/>
    </xf>
    <xf numFmtId="0" fontId="0" fillId="0" borderId="3" xfId="0" applyFill="1" applyBorder="1"/>
    <xf numFmtId="0" fontId="21" fillId="0" borderId="9" xfId="1" applyFont="1" applyBorder="1" applyAlignment="1">
      <alignment horizontal="center" vertical="center" wrapText="1"/>
    </xf>
    <xf numFmtId="0" fontId="21" fillId="0" borderId="9" xfId="2" applyFont="1" applyBorder="1" applyAlignment="1">
      <alignment horizontal="center" vertical="center" wrapText="1"/>
    </xf>
    <xf numFmtId="0" fontId="56" fillId="0" borderId="9" xfId="0" applyFont="1" applyFill="1" applyBorder="1" applyAlignment="1">
      <alignment horizontal="center" vertical="center" wrapText="1"/>
    </xf>
    <xf numFmtId="3" fontId="64" fillId="0" borderId="9" xfId="0" applyNumberFormat="1" applyFont="1" applyFill="1" applyBorder="1" applyAlignment="1">
      <alignment horizontal="center" vertical="center" wrapText="1"/>
    </xf>
    <xf numFmtId="3" fontId="56" fillId="0" borderId="9" xfId="0" applyNumberFormat="1" applyFont="1" applyFill="1" applyBorder="1" applyAlignment="1">
      <alignment horizontal="center" vertical="center"/>
    </xf>
    <xf numFmtId="4" fontId="56" fillId="0" borderId="9" xfId="0" applyNumberFormat="1" applyFont="1" applyFill="1" applyBorder="1" applyAlignment="1">
      <alignment horizontal="center" vertical="center"/>
    </xf>
    <xf numFmtId="0" fontId="3" fillId="2" borderId="60" xfId="0" applyFont="1" applyFill="1" applyBorder="1" applyAlignment="1">
      <alignment horizontal="center" vertical="center" wrapText="1"/>
    </xf>
    <xf numFmtId="0" fontId="0" fillId="0" borderId="28" xfId="0" applyBorder="1"/>
    <xf numFmtId="0" fontId="0" fillId="0" borderId="29" xfId="0" applyBorder="1" applyAlignment="1">
      <alignment horizontal="center"/>
    </xf>
    <xf numFmtId="0" fontId="0" fillId="0" borderId="30" xfId="0" applyBorder="1" applyAlignment="1">
      <alignment horizontal="center"/>
    </xf>
    <xf numFmtId="0" fontId="45" fillId="2" borderId="22" xfId="0" applyFont="1" applyFill="1" applyBorder="1" applyAlignment="1">
      <alignment horizontal="center" vertical="center" wrapText="1"/>
    </xf>
    <xf numFmtId="0" fontId="3" fillId="17" borderId="59" xfId="0" applyFont="1" applyFill="1" applyBorder="1" applyAlignment="1">
      <alignment horizontal="center" vertical="center" wrapText="1"/>
    </xf>
    <xf numFmtId="0" fontId="45" fillId="17" borderId="49" xfId="0" applyFont="1" applyFill="1" applyBorder="1" applyAlignment="1">
      <alignment horizontal="center" vertical="center" wrapText="1"/>
    </xf>
    <xf numFmtId="0" fontId="61" fillId="0" borderId="55" xfId="2" applyFont="1" applyBorder="1" applyAlignment="1">
      <alignment horizontal="center" vertical="center" wrapText="1"/>
    </xf>
    <xf numFmtId="0" fontId="23" fillId="0" borderId="55" xfId="2" applyFont="1" applyBorder="1" applyAlignment="1">
      <alignment horizontal="center" vertical="center" wrapText="1"/>
    </xf>
    <xf numFmtId="0" fontId="12" fillId="0" borderId="55" xfId="0" applyFont="1" applyBorder="1" applyAlignment="1">
      <alignment horizontal="center" vertical="center"/>
    </xf>
    <xf numFmtId="0" fontId="45" fillId="2" borderId="49" xfId="0" applyFont="1" applyFill="1" applyBorder="1" applyAlignment="1">
      <alignment horizontal="center" vertical="center" wrapText="1"/>
    </xf>
    <xf numFmtId="0" fontId="3" fillId="17" borderId="55" xfId="0" applyFont="1" applyFill="1" applyBorder="1" applyAlignment="1">
      <alignment horizontal="center" vertical="center" wrapText="1"/>
    </xf>
    <xf numFmtId="0" fontId="45" fillId="21" borderId="49" xfId="0" applyFont="1" applyFill="1" applyBorder="1" applyAlignment="1">
      <alignment horizontal="center" vertical="center" wrapText="1"/>
    </xf>
    <xf numFmtId="0" fontId="28" fillId="0" borderId="55" xfId="2" applyFont="1" applyBorder="1" applyAlignment="1">
      <alignment horizontal="center" vertical="center" wrapText="1"/>
    </xf>
    <xf numFmtId="0" fontId="21" fillId="0" borderId="55" xfId="2" applyFont="1" applyBorder="1" applyAlignment="1">
      <alignment horizontal="center" vertical="center" wrapText="1"/>
    </xf>
    <xf numFmtId="0" fontId="0" fillId="0" borderId="55" xfId="0" applyBorder="1" applyAlignment="1">
      <alignment horizontal="center" vertical="center"/>
    </xf>
    <xf numFmtId="0" fontId="45" fillId="22" borderId="49" xfId="0" applyFont="1" applyFill="1" applyBorder="1" applyAlignment="1">
      <alignment horizontal="center" vertical="center" wrapText="1"/>
    </xf>
    <xf numFmtId="0" fontId="0" fillId="0" borderId="55" xfId="0" applyBorder="1" applyAlignment="1">
      <alignment horizontal="center" vertical="center" wrapText="1"/>
    </xf>
    <xf numFmtId="0" fontId="32" fillId="0" borderId="55" xfId="0" applyFont="1" applyBorder="1" applyAlignment="1">
      <alignment horizontal="center" vertical="center" wrapText="1"/>
    </xf>
    <xf numFmtId="0" fontId="45" fillId="19" borderId="49" xfId="0" applyFont="1" applyFill="1" applyBorder="1" applyAlignment="1">
      <alignment horizontal="center" vertical="center" wrapText="1"/>
    </xf>
    <xf numFmtId="0" fontId="45" fillId="2" borderId="39" xfId="0" applyFont="1" applyFill="1" applyBorder="1" applyAlignment="1">
      <alignment horizontal="center" vertical="center" wrapText="1"/>
    </xf>
    <xf numFmtId="0" fontId="45" fillId="20" borderId="49" xfId="0" applyFont="1" applyFill="1" applyBorder="1" applyAlignment="1">
      <alignment horizontal="center" vertical="center" wrapText="1"/>
    </xf>
    <xf numFmtId="0" fontId="46" fillId="8" borderId="28" xfId="0" applyFont="1" applyFill="1" applyBorder="1" applyAlignment="1">
      <alignment vertical="center" wrapText="1"/>
    </xf>
    <xf numFmtId="0" fontId="36" fillId="0" borderId="14" xfId="0" applyFont="1" applyBorder="1" applyAlignment="1">
      <alignment horizontal="center" vertical="center"/>
    </xf>
    <xf numFmtId="0" fontId="36" fillId="0" borderId="15" xfId="0" applyFont="1" applyBorder="1" applyAlignment="1">
      <alignment horizontal="center" vertical="center"/>
    </xf>
    <xf numFmtId="0" fontId="38" fillId="17" borderId="55" xfId="0" applyFont="1" applyFill="1" applyBorder="1" applyAlignment="1">
      <alignment horizontal="center" vertical="center" wrapText="1"/>
    </xf>
    <xf numFmtId="0" fontId="44" fillId="23" borderId="49" xfId="0" applyFont="1" applyFill="1" applyBorder="1" applyAlignment="1">
      <alignment horizontal="center" vertical="center" wrapText="1"/>
    </xf>
    <xf numFmtId="0" fontId="26" fillId="0" borderId="55" xfId="2" applyFont="1" applyBorder="1" applyAlignment="1">
      <alignment horizontal="center" vertical="center" wrapText="1"/>
    </xf>
    <xf numFmtId="0" fontId="26" fillId="0" borderId="55" xfId="2" applyFont="1" applyBorder="1" applyAlignment="1">
      <alignment horizontal="center" vertical="center" wrapText="1" readingOrder="1"/>
    </xf>
    <xf numFmtId="0" fontId="38" fillId="17" borderId="61" xfId="0" applyFont="1" applyFill="1" applyBorder="1" applyAlignment="1">
      <alignment horizontal="center" vertical="center" wrapText="1"/>
    </xf>
    <xf numFmtId="0" fontId="44" fillId="24" borderId="49" xfId="0" applyFont="1" applyFill="1" applyBorder="1" applyAlignment="1">
      <alignment horizontal="center" vertical="center" wrapText="1"/>
    </xf>
    <xf numFmtId="0" fontId="31" fillId="0" borderId="55" xfId="0" applyFont="1" applyBorder="1" applyAlignment="1">
      <alignment horizontal="center" vertical="center" wrapText="1"/>
    </xf>
    <xf numFmtId="0" fontId="40" fillId="17" borderId="61" xfId="0" applyFont="1" applyFill="1" applyBorder="1" applyAlignment="1">
      <alignment horizontal="center" vertical="center" wrapText="1"/>
    </xf>
    <xf numFmtId="0" fontId="44" fillId="25" borderId="49" xfId="0" applyFont="1" applyFill="1" applyBorder="1" applyAlignment="1">
      <alignment horizontal="center" vertical="center" wrapText="1"/>
    </xf>
    <xf numFmtId="0" fontId="36" fillId="0" borderId="55" xfId="0" applyFont="1" applyBorder="1" applyAlignment="1">
      <alignment horizontal="center" vertical="center" wrapText="1" readingOrder="2"/>
    </xf>
    <xf numFmtId="0" fontId="30" fillId="0" borderId="55" xfId="0" applyFont="1" applyBorder="1" applyAlignment="1">
      <alignment horizontal="center" vertical="center" wrapText="1" readingOrder="2"/>
    </xf>
    <xf numFmtId="0" fontId="36" fillId="0" borderId="30" xfId="0" applyFont="1" applyBorder="1" applyAlignment="1">
      <alignment horizontal="center" vertical="center"/>
    </xf>
    <xf numFmtId="0" fontId="46" fillId="8" borderId="22" xfId="0" applyFont="1" applyFill="1" applyBorder="1" applyAlignment="1">
      <alignment vertical="center" wrapText="1"/>
    </xf>
    <xf numFmtId="0" fontId="6" fillId="8" borderId="22" xfId="0" applyFont="1" applyFill="1" applyBorder="1" applyAlignment="1">
      <alignment vertical="center" wrapText="1"/>
    </xf>
    <xf numFmtId="0" fontId="6" fillId="8" borderId="3" xfId="0" applyFont="1" applyFill="1" applyBorder="1" applyAlignment="1">
      <alignment vertical="center" wrapText="1"/>
    </xf>
    <xf numFmtId="3" fontId="6" fillId="8" borderId="3" xfId="0" applyNumberFormat="1" applyFont="1" applyFill="1" applyBorder="1" applyAlignment="1">
      <alignment horizontal="center" vertical="center"/>
    </xf>
    <xf numFmtId="164" fontId="6" fillId="8" borderId="3" xfId="0" applyNumberFormat="1" applyFont="1" applyFill="1" applyBorder="1" applyAlignment="1">
      <alignment horizontal="center" vertical="center"/>
    </xf>
    <xf numFmtId="4" fontId="6" fillId="8" borderId="15" xfId="0" applyNumberFormat="1" applyFont="1" applyFill="1" applyBorder="1" applyAlignment="1">
      <alignment horizontal="center" vertical="center"/>
    </xf>
    <xf numFmtId="0" fontId="3" fillId="2" borderId="35" xfId="0" applyFont="1" applyFill="1" applyBorder="1" applyAlignment="1">
      <alignment horizontal="left" vertical="center" wrapText="1"/>
    </xf>
    <xf numFmtId="0" fontId="0" fillId="0" borderId="21" xfId="0" applyBorder="1" applyAlignment="1">
      <alignment horizontal="left"/>
    </xf>
    <xf numFmtId="0" fontId="0" fillId="0" borderId="21" xfId="0" applyBorder="1" applyAlignment="1">
      <alignment vertical="center"/>
    </xf>
    <xf numFmtId="0" fontId="0" fillId="0" borderId="3" xfId="0" applyBorder="1" applyAlignment="1">
      <alignment vertical="center"/>
    </xf>
    <xf numFmtId="0" fontId="0" fillId="0" borderId="29" xfId="0" applyBorder="1" applyAlignment="1">
      <alignment horizontal="left"/>
    </xf>
    <xf numFmtId="0" fontId="44" fillId="26" borderId="49" xfId="0" applyFont="1" applyFill="1" applyBorder="1" applyAlignment="1">
      <alignment horizontal="center" vertical="center" wrapText="1"/>
    </xf>
    <xf numFmtId="0" fontId="21" fillId="0" borderId="55" xfId="1" applyFont="1" applyBorder="1" applyAlignment="1">
      <alignment horizontal="center" vertical="center" wrapText="1"/>
    </xf>
    <xf numFmtId="0" fontId="44" fillId="27" borderId="49" xfId="0" applyFont="1" applyFill="1" applyBorder="1" applyAlignment="1">
      <alignment horizontal="center" vertical="center" wrapText="1"/>
    </xf>
    <xf numFmtId="0" fontId="23" fillId="0" borderId="55" xfId="1" applyFont="1" applyBorder="1" applyAlignment="1">
      <alignment horizontal="center" vertical="center" wrapText="1"/>
    </xf>
    <xf numFmtId="0" fontId="0" fillId="0" borderId="3" xfId="0" applyFill="1" applyBorder="1" applyAlignment="1">
      <alignment horizontal="center" vertical="center"/>
    </xf>
    <xf numFmtId="0" fontId="45" fillId="2" borderId="26" xfId="0" applyFont="1" applyFill="1" applyBorder="1" applyAlignment="1">
      <alignment horizontal="center" vertical="center" wrapText="1"/>
    </xf>
    <xf numFmtId="0" fontId="3" fillId="17" borderId="27" xfId="0" applyFont="1" applyFill="1" applyBorder="1" applyAlignment="1">
      <alignment horizontal="center" vertical="center" wrapText="1"/>
    </xf>
    <xf numFmtId="0" fontId="44" fillId="29" borderId="26" xfId="0" applyFont="1" applyFill="1" applyBorder="1" applyAlignment="1">
      <alignment horizontal="center" vertical="center" wrapText="1"/>
    </xf>
    <xf numFmtId="0" fontId="24" fillId="0" borderId="27" xfId="4" applyFont="1" applyBorder="1" applyAlignment="1">
      <alignment horizontal="center" vertical="center" wrapText="1"/>
    </xf>
    <xf numFmtId="0" fontId="44" fillId="30" borderId="49" xfId="0" applyFont="1" applyFill="1" applyBorder="1" applyAlignment="1">
      <alignment horizontal="center" vertical="center" wrapText="1"/>
    </xf>
    <xf numFmtId="0" fontId="24" fillId="0" borderId="55" xfId="4" applyFont="1" applyBorder="1" applyAlignment="1">
      <alignment horizontal="center" vertical="center" wrapText="1" readingOrder="2"/>
    </xf>
    <xf numFmtId="0" fontId="52" fillId="32" borderId="55" xfId="2" applyFont="1" applyFill="1" applyBorder="1" applyAlignment="1">
      <alignment horizontal="center" vertical="center" wrapText="1"/>
    </xf>
    <xf numFmtId="0" fontId="44" fillId="31" borderId="49" xfId="0" applyFont="1" applyFill="1" applyBorder="1" applyAlignment="1">
      <alignment horizontal="center" vertical="center" wrapText="1"/>
    </xf>
    <xf numFmtId="0" fontId="36" fillId="0" borderId="55" xfId="0" applyFont="1" applyBorder="1" applyAlignment="1">
      <alignment horizontal="center" vertical="center" wrapText="1"/>
    </xf>
    <xf numFmtId="0" fontId="53" fillId="0" borderId="55" xfId="0" applyFont="1" applyBorder="1" applyAlignment="1">
      <alignment horizontal="center" vertical="center" wrapText="1" readingOrder="1"/>
    </xf>
    <xf numFmtId="0" fontId="0" fillId="0" borderId="14" xfId="0" applyBorder="1"/>
    <xf numFmtId="0" fontId="0" fillId="0" borderId="15" xfId="0" applyBorder="1"/>
    <xf numFmtId="0" fontId="44" fillId="33" borderId="49" xfId="0" applyFont="1" applyFill="1" applyBorder="1" applyAlignment="1">
      <alignment horizontal="center" vertical="center" wrapText="1"/>
    </xf>
    <xf numFmtId="0" fontId="21" fillId="13" borderId="55" xfId="2" applyFont="1" applyFill="1" applyBorder="1" applyAlignment="1">
      <alignment horizontal="center" vertical="center" wrapText="1" readingOrder="1"/>
    </xf>
    <xf numFmtId="0" fontId="21" fillId="18" borderId="55" xfId="2" applyFont="1" applyFill="1" applyBorder="1" applyAlignment="1">
      <alignment horizontal="center" vertical="center" wrapText="1" readingOrder="1"/>
    </xf>
    <xf numFmtId="0" fontId="0" fillId="0" borderId="30" xfId="0" applyBorder="1"/>
    <xf numFmtId="0" fontId="44" fillId="34" borderId="49" xfId="0" applyFont="1" applyFill="1" applyBorder="1" applyAlignment="1">
      <alignment horizontal="center" vertical="center" wrapText="1"/>
    </xf>
    <xf numFmtId="0" fontId="43" fillId="18" borderId="55" xfId="2" applyFont="1" applyFill="1" applyBorder="1" applyAlignment="1">
      <alignment horizontal="center" vertical="center" wrapText="1" readingOrder="2"/>
    </xf>
    <xf numFmtId="0" fontId="16" fillId="12" borderId="9" xfId="0" applyFont="1" applyFill="1" applyBorder="1" applyAlignment="1">
      <alignment horizontal="center" vertical="center" wrapText="1"/>
    </xf>
    <xf numFmtId="3" fontId="16" fillId="12" borderId="9" xfId="0" applyNumberFormat="1" applyFont="1" applyFill="1" applyBorder="1" applyAlignment="1">
      <alignment horizontal="center" vertical="center" wrapText="1"/>
    </xf>
    <xf numFmtId="0" fontId="0" fillId="5" borderId="15" xfId="0" applyFill="1" applyBorder="1"/>
    <xf numFmtId="0" fontId="46" fillId="8" borderId="28" xfId="0" applyFont="1" applyFill="1" applyBorder="1" applyAlignment="1">
      <alignment horizontal="center" vertical="center"/>
    </xf>
    <xf numFmtId="0" fontId="6" fillId="8" borderId="30" xfId="0" applyFont="1" applyFill="1" applyBorder="1" applyAlignment="1">
      <alignment horizontal="center" vertical="center"/>
    </xf>
    <xf numFmtId="0" fontId="44" fillId="28" borderId="49" xfId="0" applyFont="1" applyFill="1" applyBorder="1" applyAlignment="1">
      <alignment horizontal="center" vertical="center" wrapText="1"/>
    </xf>
    <xf numFmtId="0" fontId="49" fillId="0" borderId="55" xfId="0" applyFont="1" applyBorder="1" applyAlignment="1">
      <alignment horizontal="center" vertical="center" wrapText="1"/>
    </xf>
    <xf numFmtId="0" fontId="50" fillId="0" borderId="55" xfId="0" applyFont="1" applyBorder="1" applyAlignment="1">
      <alignment horizontal="center" vertical="center" wrapText="1"/>
    </xf>
    <xf numFmtId="0" fontId="12" fillId="0" borderId="3" xfId="5"/>
    <xf numFmtId="0" fontId="45" fillId="37" borderId="9" xfId="5" applyFont="1" applyFill="1" applyBorder="1" applyAlignment="1">
      <alignment horizontal="center" vertical="center" wrapText="1"/>
    </xf>
    <xf numFmtId="0" fontId="72" fillId="5" borderId="9" xfId="5" applyFont="1" applyFill="1" applyBorder="1" applyAlignment="1">
      <alignment horizontal="center" vertical="center" wrapText="1"/>
    </xf>
    <xf numFmtId="0" fontId="73" fillId="5" borderId="9" xfId="5" applyFont="1" applyFill="1" applyBorder="1" applyAlignment="1">
      <alignment horizontal="right" vertical="center" wrapText="1"/>
    </xf>
    <xf numFmtId="0" fontId="46" fillId="5" borderId="9" xfId="5" applyFont="1" applyFill="1" applyBorder="1" applyAlignment="1">
      <alignment horizontal="center" vertical="center" wrapText="1"/>
    </xf>
    <xf numFmtId="0" fontId="72" fillId="38" borderId="9" xfId="5" applyFont="1" applyFill="1" applyBorder="1" applyAlignment="1">
      <alignment horizontal="center" vertical="center" wrapText="1"/>
    </xf>
    <xf numFmtId="0" fontId="73" fillId="38" borderId="9" xfId="5" applyFont="1" applyFill="1" applyBorder="1" applyAlignment="1">
      <alignment horizontal="right" vertical="center" wrapText="1"/>
    </xf>
    <xf numFmtId="0" fontId="46" fillId="38" borderId="9" xfId="5" applyFont="1" applyFill="1" applyBorder="1" applyAlignment="1">
      <alignment horizontal="center" vertical="center" wrapText="1"/>
    </xf>
    <xf numFmtId="0" fontId="73" fillId="5" borderId="9" xfId="5" applyFont="1" applyFill="1" applyBorder="1" applyAlignment="1">
      <alignment horizontal="center" vertical="center" wrapText="1"/>
    </xf>
    <xf numFmtId="0" fontId="73" fillId="38" borderId="9" xfId="5" applyFont="1" applyFill="1" applyBorder="1" applyAlignment="1">
      <alignment horizontal="center" vertical="center" wrapText="1"/>
    </xf>
    <xf numFmtId="0" fontId="12" fillId="0" borderId="3" xfId="5" applyAlignment="1">
      <alignment horizontal="center" vertical="center"/>
    </xf>
    <xf numFmtId="0" fontId="12" fillId="0" borderId="3" xfId="3"/>
    <xf numFmtId="0" fontId="77" fillId="37" borderId="9" xfId="3" applyFont="1" applyFill="1" applyBorder="1" applyAlignment="1">
      <alignment horizontal="center" vertical="center" wrapText="1"/>
    </xf>
    <xf numFmtId="0" fontId="77" fillId="37" borderId="9" xfId="3" applyFont="1" applyFill="1" applyBorder="1" applyAlignment="1">
      <alignment horizontal="left" vertical="center" wrapText="1"/>
    </xf>
    <xf numFmtId="0" fontId="78" fillId="5" borderId="9" xfId="3" applyFont="1" applyFill="1" applyBorder="1" applyAlignment="1">
      <alignment horizontal="center" vertical="center" wrapText="1"/>
    </xf>
    <xf numFmtId="0" fontId="78" fillId="5" borderId="9" xfId="3" applyFont="1" applyFill="1" applyBorder="1" applyAlignment="1">
      <alignment horizontal="left" vertical="center" wrapText="1"/>
    </xf>
    <xf numFmtId="0" fontId="78" fillId="38" borderId="9" xfId="3" applyFont="1" applyFill="1" applyBorder="1" applyAlignment="1">
      <alignment horizontal="center" vertical="center" wrapText="1"/>
    </xf>
    <xf numFmtId="0" fontId="78" fillId="38" borderId="9" xfId="3" applyFont="1" applyFill="1" applyBorder="1" applyAlignment="1">
      <alignment horizontal="left" vertical="center" wrapText="1"/>
    </xf>
    <xf numFmtId="0" fontId="12" fillId="0" borderId="3" xfId="3" applyAlignment="1">
      <alignment horizontal="center" vertical="center"/>
    </xf>
    <xf numFmtId="0" fontId="12" fillId="0" borderId="3" xfId="3" applyAlignment="1">
      <alignment horizontal="left" vertical="center"/>
    </xf>
    <xf numFmtId="3" fontId="16" fillId="12" borderId="27" xfId="0" applyNumberFormat="1" applyFont="1" applyFill="1" applyBorder="1" applyAlignment="1">
      <alignment horizontal="center" vertical="center"/>
    </xf>
    <xf numFmtId="3" fontId="6" fillId="8" borderId="57" xfId="0" applyNumberFormat="1" applyFont="1" applyFill="1" applyBorder="1" applyAlignment="1">
      <alignment horizontal="center" vertical="center"/>
    </xf>
    <xf numFmtId="0" fontId="6" fillId="8" borderId="57" xfId="0" applyFont="1" applyFill="1" applyBorder="1" applyAlignment="1">
      <alignment horizontal="center" vertical="center"/>
    </xf>
    <xf numFmtId="164" fontId="6" fillId="8" borderId="57" xfId="0" applyNumberFormat="1" applyFont="1" applyFill="1" applyBorder="1" applyAlignment="1">
      <alignment horizontal="center" vertical="center"/>
    </xf>
    <xf numFmtId="3" fontId="6" fillId="8" borderId="58" xfId="0" applyNumberFormat="1" applyFont="1" applyFill="1" applyBorder="1" applyAlignment="1">
      <alignment horizontal="center" vertical="center"/>
    </xf>
    <xf numFmtId="0" fontId="79" fillId="39" borderId="20" xfId="5" applyFont="1" applyFill="1" applyBorder="1" applyAlignment="1">
      <alignment vertical="center" wrapText="1"/>
    </xf>
    <xf numFmtId="0" fontId="69" fillId="39" borderId="21" xfId="5" applyFont="1" applyFill="1" applyBorder="1" applyAlignment="1">
      <alignment vertical="center"/>
    </xf>
    <xf numFmtId="0" fontId="69" fillId="39" borderId="14" xfId="5" applyFont="1" applyFill="1" applyBorder="1" applyAlignment="1">
      <alignment vertical="center"/>
    </xf>
    <xf numFmtId="0" fontId="69" fillId="39" borderId="22" xfId="5" applyFont="1" applyFill="1" applyBorder="1" applyAlignment="1">
      <alignment vertical="center"/>
    </xf>
    <xf numFmtId="0" fontId="69" fillId="39" borderId="3" xfId="5" applyFont="1" applyFill="1" applyBorder="1" applyAlignment="1">
      <alignment vertical="center"/>
    </xf>
    <xf numFmtId="0" fontId="69" fillId="39" borderId="15" xfId="5" applyFont="1" applyFill="1" applyBorder="1" applyAlignment="1">
      <alignment vertical="center"/>
    </xf>
    <xf numFmtId="0" fontId="69" fillId="39" borderId="28" xfId="5" applyFont="1" applyFill="1" applyBorder="1" applyAlignment="1">
      <alignment vertical="center"/>
    </xf>
    <xf numFmtId="0" fontId="69" fillId="39" borderId="29" xfId="5" applyFont="1" applyFill="1" applyBorder="1" applyAlignment="1">
      <alignment vertical="center"/>
    </xf>
    <xf numFmtId="0" fontId="69" fillId="39" borderId="30" xfId="5" applyFont="1" applyFill="1" applyBorder="1" applyAlignment="1">
      <alignment vertical="center"/>
    </xf>
    <xf numFmtId="0" fontId="79" fillId="39" borderId="21" xfId="5" applyFont="1" applyFill="1" applyBorder="1" applyAlignment="1">
      <alignment vertical="center" wrapText="1"/>
    </xf>
    <xf numFmtId="0" fontId="79" fillId="39" borderId="14" xfId="5" applyFont="1" applyFill="1" applyBorder="1" applyAlignment="1">
      <alignment vertical="center" wrapText="1"/>
    </xf>
    <xf numFmtId="0" fontId="79" fillId="39" borderId="22" xfId="5" applyFont="1" applyFill="1" applyBorder="1" applyAlignment="1">
      <alignment vertical="center" wrapText="1"/>
    </xf>
    <xf numFmtId="0" fontId="79" fillId="39" borderId="3" xfId="5" applyFont="1" applyFill="1" applyBorder="1" applyAlignment="1">
      <alignment vertical="center" wrapText="1"/>
    </xf>
    <xf numFmtId="0" fontId="79" fillId="39" borderId="15" xfId="5" applyFont="1" applyFill="1" applyBorder="1" applyAlignment="1">
      <alignment vertical="center" wrapText="1"/>
    </xf>
    <xf numFmtId="0" fontId="79" fillId="39" borderId="28" xfId="5" applyFont="1" applyFill="1" applyBorder="1" applyAlignment="1">
      <alignment vertical="center" wrapText="1"/>
    </xf>
    <xf numFmtId="0" fontId="79" fillId="39" borderId="29" xfId="5" applyFont="1" applyFill="1" applyBorder="1" applyAlignment="1">
      <alignment vertical="center" wrapText="1"/>
    </xf>
    <xf numFmtId="0" fontId="79" fillId="39" borderId="30" xfId="5" applyFont="1" applyFill="1" applyBorder="1" applyAlignment="1">
      <alignment vertical="center" wrapText="1"/>
    </xf>
    <xf numFmtId="4" fontId="18" fillId="14" borderId="10" xfId="0" applyNumberFormat="1" applyFont="1" applyFill="1" applyBorder="1" applyAlignment="1">
      <alignment horizontal="center" vertical="center" wrapText="1"/>
    </xf>
    <xf numFmtId="4" fontId="18" fillId="14" borderId="18" xfId="0" applyNumberFormat="1" applyFont="1" applyFill="1" applyBorder="1" applyAlignment="1">
      <alignment horizontal="center" vertical="center" wrapText="1"/>
    </xf>
    <xf numFmtId="4" fontId="18" fillId="14" borderId="55" xfId="0" applyNumberFormat="1" applyFont="1" applyFill="1" applyBorder="1" applyAlignment="1">
      <alignment horizontal="center" vertical="center" wrapText="1"/>
    </xf>
    <xf numFmtId="4" fontId="19" fillId="15" borderId="62" xfId="0" applyNumberFormat="1" applyFont="1" applyFill="1" applyBorder="1" applyAlignment="1">
      <alignment horizontal="center" vertical="center" wrapText="1"/>
    </xf>
    <xf numFmtId="4" fontId="19" fillId="15" borderId="40" xfId="0" applyNumberFormat="1" applyFont="1" applyFill="1" applyBorder="1" applyAlignment="1">
      <alignment horizontal="center" vertical="center" wrapText="1"/>
    </xf>
    <xf numFmtId="4" fontId="19" fillId="15" borderId="63" xfId="0" applyNumberFormat="1" applyFont="1" applyFill="1" applyBorder="1" applyAlignment="1">
      <alignment horizontal="center" vertical="center" wrapText="1"/>
    </xf>
    <xf numFmtId="4" fontId="2" fillId="7" borderId="10" xfId="0" applyNumberFormat="1" applyFont="1" applyFill="1" applyBorder="1" applyAlignment="1">
      <alignment horizontal="center" vertical="center" wrapText="1"/>
    </xf>
    <xf numFmtId="4" fontId="2" fillId="7" borderId="18" xfId="0" applyNumberFormat="1" applyFont="1" applyFill="1" applyBorder="1" applyAlignment="1">
      <alignment horizontal="center" vertical="center" wrapText="1"/>
    </xf>
    <xf numFmtId="4" fontId="2" fillId="7" borderId="55" xfId="0" applyNumberFormat="1"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55" xfId="0" applyFont="1" applyFill="1" applyBorder="1" applyAlignment="1">
      <alignment horizontal="center" vertical="center" wrapText="1"/>
    </xf>
    <xf numFmtId="4" fontId="2" fillId="5" borderId="10" xfId="0" applyNumberFormat="1" applyFont="1" applyFill="1" applyBorder="1" applyAlignment="1">
      <alignment horizontal="center" vertical="center" wrapText="1"/>
    </xf>
    <xf numFmtId="4" fontId="2" fillId="5" borderId="18" xfId="0" applyNumberFormat="1" applyFont="1" applyFill="1" applyBorder="1" applyAlignment="1">
      <alignment horizontal="center" vertical="center" wrapText="1"/>
    </xf>
    <xf numFmtId="4" fontId="2" fillId="5" borderId="55" xfId="0" applyNumberFormat="1" applyFont="1" applyFill="1" applyBorder="1" applyAlignment="1">
      <alignment horizontal="center" vertical="center" wrapText="1"/>
    </xf>
    <xf numFmtId="4" fontId="17" fillId="14" borderId="10" xfId="0" applyNumberFormat="1" applyFont="1" applyFill="1" applyBorder="1" applyAlignment="1">
      <alignment horizontal="center" vertical="center" wrapText="1"/>
    </xf>
    <xf numFmtId="4" fontId="17" fillId="14" borderId="18" xfId="0" applyNumberFormat="1" applyFont="1" applyFill="1" applyBorder="1" applyAlignment="1">
      <alignment horizontal="center" vertical="center" wrapText="1"/>
    </xf>
    <xf numFmtId="4" fontId="17" fillId="14" borderId="55" xfId="0" applyNumberFormat="1" applyFont="1" applyFill="1" applyBorder="1" applyAlignment="1">
      <alignment horizontal="center" vertical="center" wrapText="1"/>
    </xf>
    <xf numFmtId="0" fontId="1" fillId="3" borderId="20" xfId="0" applyFont="1" applyFill="1" applyBorder="1" applyAlignment="1">
      <alignment horizontal="center" vertical="center" wrapText="1"/>
    </xf>
    <xf numFmtId="0" fontId="0" fillId="0" borderId="22" xfId="0" applyBorder="1"/>
    <xf numFmtId="0" fontId="3" fillId="2" borderId="9" xfId="0" applyFont="1" applyFill="1" applyBorder="1" applyAlignment="1">
      <alignment horizontal="center" vertical="center" wrapText="1"/>
    </xf>
    <xf numFmtId="0" fontId="0" fillId="0" borderId="9" xfId="0" applyBorder="1" applyAlignment="1">
      <alignment horizontal="center" vertical="center"/>
    </xf>
    <xf numFmtId="0" fontId="0" fillId="0" borderId="27" xfId="0" applyBorder="1" applyAlignment="1">
      <alignment horizontal="center" vertical="center"/>
    </xf>
    <xf numFmtId="4" fontId="4" fillId="5" borderId="9" xfId="0" applyNumberFormat="1" applyFont="1" applyFill="1" applyBorder="1" applyAlignment="1">
      <alignment horizontal="center" vertical="center" wrapText="1"/>
    </xf>
    <xf numFmtId="0" fontId="0" fillId="0" borderId="21" xfId="0" applyBorder="1"/>
    <xf numFmtId="0" fontId="0" fillId="0" borderId="3" xfId="0" applyBorder="1"/>
    <xf numFmtId="0" fontId="19" fillId="15" borderId="56" xfId="0" applyFont="1" applyFill="1" applyBorder="1" applyAlignment="1">
      <alignment horizontal="center" vertical="center" wrapText="1"/>
    </xf>
    <xf numFmtId="0" fontId="13" fillId="16" borderId="57" xfId="0" applyFont="1" applyFill="1" applyBorder="1" applyAlignment="1">
      <alignment horizontal="center"/>
    </xf>
    <xf numFmtId="0" fontId="2" fillId="5" borderId="52" xfId="0" applyFont="1" applyFill="1" applyBorder="1" applyAlignment="1">
      <alignment horizontal="center" vertical="center" wrapText="1"/>
    </xf>
    <xf numFmtId="0" fontId="0" fillId="0" borderId="53" xfId="0" applyBorder="1"/>
    <xf numFmtId="0" fontId="0" fillId="0" borderId="54" xfId="0" applyBorder="1"/>
    <xf numFmtId="0" fontId="0" fillId="0" borderId="26" xfId="0" applyBorder="1"/>
    <xf numFmtId="0" fontId="0" fillId="0" borderId="9" xfId="0" applyBorder="1"/>
    <xf numFmtId="0" fontId="0" fillId="0" borderId="27" xfId="0" applyBorder="1"/>
    <xf numFmtId="0" fontId="6" fillId="8" borderId="26" xfId="0" applyFont="1" applyFill="1" applyBorder="1" applyAlignment="1">
      <alignment horizontal="center" vertical="center" wrapText="1"/>
    </xf>
    <xf numFmtId="0" fontId="9" fillId="0" borderId="21" xfId="0" applyFont="1" applyBorder="1" applyAlignment="1">
      <alignment horizontal="center" vertical="center"/>
    </xf>
    <xf numFmtId="0" fontId="10" fillId="6" borderId="1" xfId="0" applyFont="1" applyFill="1" applyBorder="1" applyAlignment="1">
      <alignment horizontal="center" vertical="center"/>
    </xf>
    <xf numFmtId="0" fontId="0" fillId="0" borderId="5" xfId="0" applyBorder="1"/>
    <xf numFmtId="0" fontId="0" fillId="0" borderId="2" xfId="0" applyBorder="1"/>
    <xf numFmtId="0" fontId="0" fillId="0" borderId="14" xfId="0" applyBorder="1"/>
    <xf numFmtId="0" fontId="0" fillId="0" borderId="15" xfId="0" applyBorder="1"/>
    <xf numFmtId="4" fontId="4" fillId="7" borderId="9" xfId="0" applyNumberFormat="1" applyFont="1" applyFill="1" applyBorder="1" applyAlignment="1">
      <alignment horizontal="center" vertical="center" wrapText="1"/>
    </xf>
    <xf numFmtId="4" fontId="6" fillId="8" borderId="9" xfId="0" applyNumberFormat="1" applyFont="1" applyFill="1" applyBorder="1" applyAlignment="1">
      <alignment horizontal="center" vertical="center"/>
    </xf>
    <xf numFmtId="0" fontId="0" fillId="0" borderId="9" xfId="0" applyBorder="1" applyAlignment="1">
      <alignment horizontal="center"/>
    </xf>
    <xf numFmtId="0" fontId="0" fillId="0" borderId="27" xfId="0" applyBorder="1" applyAlignment="1">
      <alignment horizontal="center"/>
    </xf>
    <xf numFmtId="0" fontId="7" fillId="9" borderId="24" xfId="0" applyFont="1" applyFill="1" applyBorder="1" applyAlignment="1">
      <alignment horizontal="center" vertical="center" wrapText="1"/>
    </xf>
    <xf numFmtId="0" fontId="0" fillId="0" borderId="6" xfId="0" applyBorder="1"/>
    <xf numFmtId="0" fontId="0" fillId="0" borderId="25" xfId="0" applyBorder="1"/>
    <xf numFmtId="4" fontId="4" fillId="12" borderId="9" xfId="0" applyNumberFormat="1" applyFont="1" applyFill="1" applyBorder="1" applyAlignment="1">
      <alignment horizontal="center" vertical="center" wrapText="1"/>
    </xf>
    <xf numFmtId="0" fontId="0" fillId="13" borderId="9" xfId="0" applyFill="1" applyBorder="1" applyAlignment="1">
      <alignment horizontal="center" vertical="center"/>
    </xf>
    <xf numFmtId="0" fontId="0" fillId="13" borderId="27" xfId="0" applyFill="1" applyBorder="1" applyAlignment="1">
      <alignment horizontal="center" vertical="center"/>
    </xf>
    <xf numFmtId="0" fontId="83" fillId="39" borderId="20" xfId="5" applyFont="1" applyFill="1" applyBorder="1" applyAlignment="1">
      <alignment horizontal="center" vertical="center" wrapText="1"/>
    </xf>
    <xf numFmtId="0" fontId="69" fillId="39" borderId="21" xfId="5" applyFont="1" applyFill="1" applyBorder="1" applyAlignment="1">
      <alignment horizontal="center" vertical="center"/>
    </xf>
    <xf numFmtId="0" fontId="69" fillId="39" borderId="14" xfId="5" applyFont="1" applyFill="1" applyBorder="1" applyAlignment="1">
      <alignment horizontal="center" vertical="center"/>
    </xf>
    <xf numFmtId="0" fontId="69" fillId="39" borderId="22" xfId="5" applyFont="1" applyFill="1" applyBorder="1" applyAlignment="1">
      <alignment horizontal="center" vertical="center"/>
    </xf>
    <xf numFmtId="0" fontId="69" fillId="39" borderId="3" xfId="5" applyFont="1" applyFill="1" applyBorder="1" applyAlignment="1">
      <alignment horizontal="center" vertical="center"/>
    </xf>
    <xf numFmtId="0" fontId="69" fillId="39" borderId="15" xfId="5" applyFont="1" applyFill="1" applyBorder="1" applyAlignment="1">
      <alignment horizontal="center" vertical="center"/>
    </xf>
    <xf numFmtId="0" fontId="69" fillId="39" borderId="28" xfId="5" applyFont="1" applyFill="1" applyBorder="1" applyAlignment="1">
      <alignment horizontal="center" vertical="center"/>
    </xf>
    <xf numFmtId="0" fontId="69" fillId="39" borderId="29" xfId="5" applyFont="1" applyFill="1" applyBorder="1" applyAlignment="1">
      <alignment horizontal="center" vertical="center"/>
    </xf>
    <xf numFmtId="0" fontId="69" fillId="39" borderId="30" xfId="5" applyFont="1" applyFill="1" applyBorder="1" applyAlignment="1">
      <alignment horizontal="center" vertical="center"/>
    </xf>
    <xf numFmtId="0" fontId="69" fillId="36" borderId="9" xfId="5" applyFont="1" applyFill="1" applyBorder="1" applyAlignment="1">
      <alignment horizontal="center" vertical="center"/>
    </xf>
    <xf numFmtId="0" fontId="70" fillId="0" borderId="9" xfId="5" applyFont="1" applyBorder="1" applyAlignment="1">
      <alignment horizontal="center" vertical="center"/>
    </xf>
    <xf numFmtId="0" fontId="71" fillId="36" borderId="9" xfId="5" applyFont="1" applyFill="1" applyBorder="1" applyAlignment="1">
      <alignment horizontal="center" vertical="center"/>
    </xf>
    <xf numFmtId="0" fontId="72" fillId="38" borderId="9" xfId="5" applyFont="1" applyFill="1" applyBorder="1" applyAlignment="1">
      <alignment horizontal="center" vertical="center" wrapText="1"/>
    </xf>
    <xf numFmtId="0" fontId="72" fillId="38" borderId="9" xfId="5" applyFont="1" applyFill="1" applyBorder="1" applyAlignment="1">
      <alignment horizontal="right" vertical="center" wrapText="1"/>
    </xf>
    <xf numFmtId="0" fontId="46" fillId="38" borderId="9" xfId="5" applyFont="1" applyFill="1" applyBorder="1" applyAlignment="1">
      <alignment horizontal="center" vertical="center" wrapText="1"/>
    </xf>
    <xf numFmtId="0" fontId="74" fillId="36" borderId="9" xfId="3" applyFont="1" applyFill="1" applyBorder="1" applyAlignment="1">
      <alignment horizontal="center" vertical="center"/>
    </xf>
    <xf numFmtId="0" fontId="12" fillId="0" borderId="9" xfId="3" applyBorder="1"/>
    <xf numFmtId="0" fontId="75" fillId="36" borderId="9" xfId="3" applyFont="1" applyFill="1" applyBorder="1" applyAlignment="1">
      <alignment horizontal="center" vertical="center"/>
    </xf>
    <xf numFmtId="0" fontId="76" fillId="0" borderId="9" xfId="3" applyFont="1" applyBorder="1"/>
    <xf numFmtId="0" fontId="80" fillId="39" borderId="43" xfId="5" applyFont="1" applyFill="1" applyBorder="1" applyAlignment="1">
      <alignment horizontal="center" vertical="center"/>
    </xf>
    <xf numFmtId="0" fontId="81" fillId="39" borderId="44" xfId="5" applyFont="1" applyFill="1" applyBorder="1" applyAlignment="1">
      <alignment horizontal="center" vertical="center"/>
    </xf>
    <xf numFmtId="0" fontId="81" fillId="39" borderId="45" xfId="5" applyFont="1" applyFill="1" applyBorder="1" applyAlignment="1">
      <alignment horizontal="center" vertical="center"/>
    </xf>
    <xf numFmtId="0" fontId="79" fillId="39" borderId="20" xfId="5" applyFont="1" applyFill="1" applyBorder="1" applyAlignment="1">
      <alignment horizontal="center" vertical="center" wrapText="1"/>
    </xf>
    <xf numFmtId="0" fontId="79" fillId="39" borderId="21" xfId="5" applyFont="1" applyFill="1" applyBorder="1" applyAlignment="1">
      <alignment horizontal="center" vertical="center" wrapText="1"/>
    </xf>
    <xf numFmtId="0" fontId="79" fillId="39" borderId="14" xfId="5" applyFont="1" applyFill="1" applyBorder="1" applyAlignment="1">
      <alignment horizontal="center" vertical="center" wrapText="1"/>
    </xf>
    <xf numFmtId="0" fontId="79" fillId="39" borderId="22" xfId="5" applyFont="1" applyFill="1" applyBorder="1" applyAlignment="1">
      <alignment horizontal="center" vertical="center" wrapText="1"/>
    </xf>
    <xf numFmtId="0" fontId="79" fillId="39" borderId="3" xfId="5" applyFont="1" applyFill="1" applyBorder="1" applyAlignment="1">
      <alignment horizontal="center" vertical="center" wrapText="1"/>
    </xf>
    <xf numFmtId="0" fontId="79" fillId="39" borderId="15" xfId="5" applyFont="1" applyFill="1" applyBorder="1" applyAlignment="1">
      <alignment horizontal="center" vertical="center" wrapText="1"/>
    </xf>
    <xf numFmtId="0" fontId="79" fillId="39" borderId="28" xfId="5" applyFont="1" applyFill="1" applyBorder="1" applyAlignment="1">
      <alignment horizontal="center" vertical="center" wrapText="1"/>
    </xf>
    <xf numFmtId="0" fontId="79" fillId="39" borderId="29" xfId="5" applyFont="1" applyFill="1" applyBorder="1" applyAlignment="1">
      <alignment horizontal="center" vertical="center" wrapText="1"/>
    </xf>
    <xf numFmtId="0" fontId="79" fillId="39" borderId="30" xfId="5" applyFont="1" applyFill="1" applyBorder="1" applyAlignment="1">
      <alignment horizontal="center" vertical="center" wrapText="1"/>
    </xf>
    <xf numFmtId="0" fontId="60" fillId="0" borderId="21" xfId="0" applyFont="1" applyBorder="1" applyAlignment="1">
      <alignment horizontal="center" vertical="center"/>
    </xf>
    <xf numFmtId="0" fontId="65" fillId="9" borderId="24" xfId="0" applyFont="1" applyFill="1" applyBorder="1" applyAlignment="1">
      <alignment horizontal="center" vertical="center" wrapText="1"/>
    </xf>
    <xf numFmtId="0" fontId="65" fillId="9" borderId="6" xfId="0" applyFont="1" applyFill="1" applyBorder="1" applyAlignment="1">
      <alignment horizontal="center" vertical="center" wrapText="1"/>
    </xf>
    <xf numFmtId="0" fontId="66" fillId="0" borderId="6" xfId="0" applyFont="1" applyBorder="1" applyAlignment="1">
      <alignment horizontal="center"/>
    </xf>
    <xf numFmtId="0" fontId="66" fillId="0" borderId="25" xfId="0" applyFont="1" applyBorder="1" applyAlignment="1">
      <alignment horizontal="center"/>
    </xf>
    <xf numFmtId="0" fontId="65" fillId="9" borderId="50" xfId="0" applyFont="1" applyFill="1" applyBorder="1" applyAlignment="1">
      <alignment horizontal="center" vertical="center" wrapText="1"/>
    </xf>
    <xf numFmtId="0" fontId="65" fillId="9" borderId="51" xfId="0" applyFont="1" applyFill="1" applyBorder="1" applyAlignment="1">
      <alignment horizontal="center" vertical="center" wrapText="1"/>
    </xf>
    <xf numFmtId="0" fontId="6" fillId="8" borderId="16" xfId="0" applyFont="1" applyFill="1" applyBorder="1" applyAlignment="1">
      <alignment horizontal="center" vertical="center" wrapText="1"/>
    </xf>
    <xf numFmtId="0" fontId="8" fillId="4" borderId="23" xfId="0" applyFont="1" applyFill="1" applyBorder="1" applyAlignment="1">
      <alignment horizontal="center" vertical="center"/>
    </xf>
    <xf numFmtId="0" fontId="8" fillId="4" borderId="7" xfId="0" applyFont="1" applyFill="1" applyBorder="1" applyAlignment="1">
      <alignment horizontal="center" vertical="center"/>
    </xf>
    <xf numFmtId="0" fontId="0" fillId="4" borderId="7" xfId="0" applyFill="1" applyBorder="1"/>
    <xf numFmtId="0" fontId="24" fillId="0" borderId="11" xfId="2" applyFont="1" applyBorder="1" applyAlignment="1">
      <alignment horizontal="center" vertical="center" wrapText="1"/>
    </xf>
    <xf numFmtId="0" fontId="24" fillId="0" borderId="27" xfId="2" applyFont="1" applyBorder="1" applyAlignment="1">
      <alignment horizontal="center" vertical="center" wrapText="1"/>
    </xf>
    <xf numFmtId="0" fontId="3" fillId="17" borderId="11" xfId="0" applyFont="1" applyFill="1" applyBorder="1" applyAlignment="1">
      <alignment horizontal="center" vertical="center" wrapText="1"/>
    </xf>
    <xf numFmtId="0" fontId="3" fillId="17" borderId="27" xfId="0" applyFont="1" applyFill="1" applyBorder="1" applyAlignment="1">
      <alignment horizontal="center" vertical="center" wrapText="1"/>
    </xf>
    <xf numFmtId="0" fontId="26" fillId="0" borderId="11" xfId="2" applyFont="1" applyBorder="1" applyAlignment="1">
      <alignment horizontal="center" vertical="center" wrapText="1"/>
    </xf>
    <xf numFmtId="0" fontId="26" fillId="0" borderId="27" xfId="2" applyFont="1" applyBorder="1" applyAlignment="1">
      <alignment horizontal="center" vertical="center" wrapText="1"/>
    </xf>
    <xf numFmtId="0" fontId="24" fillId="0" borderId="11" xfId="3" quotePrefix="1" applyFont="1" applyBorder="1" applyAlignment="1">
      <alignment horizontal="center" vertical="center" wrapText="1"/>
    </xf>
    <xf numFmtId="0" fontId="24" fillId="0" borderId="27" xfId="3" applyFont="1" applyBorder="1" applyAlignment="1">
      <alignment horizontal="center" vertical="center" wrapText="1"/>
    </xf>
    <xf numFmtId="0" fontId="24" fillId="0" borderId="18" xfId="3" applyFont="1" applyBorder="1" applyAlignment="1">
      <alignment horizontal="center" vertical="center" wrapText="1"/>
    </xf>
    <xf numFmtId="0" fontId="24" fillId="0" borderId="11" xfId="3" applyFont="1" applyBorder="1" applyAlignment="1">
      <alignment horizontal="center" vertical="center" wrapText="1"/>
    </xf>
    <xf numFmtId="0" fontId="24" fillId="0" borderId="18" xfId="3" quotePrefix="1" applyFont="1" applyBorder="1" applyAlignment="1">
      <alignment horizontal="center" vertical="center" wrapText="1"/>
    </xf>
    <xf numFmtId="0" fontId="6" fillId="8" borderId="28" xfId="0" applyFont="1" applyFill="1" applyBorder="1" applyAlignment="1">
      <alignment horizontal="left" vertical="center" wrapText="1"/>
    </xf>
    <xf numFmtId="0" fontId="6" fillId="8" borderId="29" xfId="0" applyFont="1" applyFill="1" applyBorder="1" applyAlignment="1">
      <alignment horizontal="left" vertical="center" wrapText="1"/>
    </xf>
    <xf numFmtId="0" fontId="0" fillId="0" borderId="29" xfId="0" applyBorder="1"/>
    <xf numFmtId="0" fontId="1" fillId="0" borderId="20" xfId="0" applyFont="1" applyFill="1" applyBorder="1" applyAlignment="1">
      <alignment horizontal="center" vertical="center" wrapText="1"/>
    </xf>
    <xf numFmtId="0" fontId="0" fillId="0" borderId="22" xfId="0" applyFill="1" applyBorder="1"/>
    <xf numFmtId="0" fontId="3" fillId="17" borderId="13" xfId="0" applyFont="1" applyFill="1" applyBorder="1" applyAlignment="1">
      <alignment horizontal="center" vertical="center" wrapText="1"/>
    </xf>
    <xf numFmtId="0" fontId="3" fillId="17" borderId="35" xfId="0" applyFont="1" applyFill="1" applyBorder="1" applyAlignment="1">
      <alignment horizontal="center" vertical="center" wrapText="1"/>
    </xf>
    <xf numFmtId="0" fontId="26" fillId="0" borderId="11" xfId="3" applyFont="1" applyBorder="1" applyAlignment="1">
      <alignment horizontal="center" vertical="center" wrapText="1"/>
    </xf>
    <xf numFmtId="0" fontId="26" fillId="0" borderId="9" xfId="3" applyFont="1" applyBorder="1" applyAlignment="1">
      <alignment horizontal="center" vertical="center" wrapText="1"/>
    </xf>
    <xf numFmtId="0" fontId="24" fillId="0" borderId="9" xfId="3" applyFont="1" applyBorder="1" applyAlignment="1">
      <alignment horizontal="center" vertical="center" wrapText="1"/>
    </xf>
    <xf numFmtId="0" fontId="24" fillId="0" borderId="17" xfId="3" applyFont="1" applyBorder="1" applyAlignment="1">
      <alignment horizontal="center" vertical="center" wrapText="1"/>
    </xf>
    <xf numFmtId="0" fontId="24" fillId="0" borderId="13" xfId="3" applyFont="1" applyBorder="1" applyAlignment="1">
      <alignment horizontal="center" vertical="center" wrapText="1"/>
    </xf>
    <xf numFmtId="0" fontId="24" fillId="0" borderId="16" xfId="3" applyFont="1" applyBorder="1" applyAlignment="1">
      <alignment horizontal="center" vertical="center" wrapText="1"/>
    </xf>
    <xf numFmtId="0" fontId="24" fillId="0" borderId="12" xfId="3" applyFont="1" applyBorder="1" applyAlignment="1">
      <alignment horizontal="center" vertical="center" wrapText="1"/>
    </xf>
    <xf numFmtId="0" fontId="25" fillId="0" borderId="16" xfId="3" applyFont="1" applyBorder="1" applyAlignment="1">
      <alignment horizontal="center" vertical="center" wrapText="1"/>
    </xf>
    <xf numFmtId="0" fontId="25" fillId="0" borderId="12" xfId="3" applyFont="1" applyBorder="1" applyAlignment="1">
      <alignment horizontal="center" vertical="center" wrapText="1"/>
    </xf>
    <xf numFmtId="0" fontId="27" fillId="0" borderId="18" xfId="2" applyFont="1" applyBorder="1" applyAlignment="1">
      <alignment horizontal="center" vertical="center" wrapText="1"/>
    </xf>
    <xf numFmtId="0" fontId="27" fillId="0" borderId="11" xfId="2" applyFont="1" applyBorder="1" applyAlignment="1">
      <alignment horizontal="center" vertical="center" wrapText="1"/>
    </xf>
    <xf numFmtId="0" fontId="0" fillId="0" borderId="14" xfId="0" applyBorder="1" applyAlignment="1">
      <alignment horizontal="center"/>
    </xf>
    <xf numFmtId="0" fontId="0" fillId="0" borderId="15" xfId="0" applyBorder="1" applyAlignment="1">
      <alignment horizontal="center"/>
    </xf>
    <xf numFmtId="0" fontId="7" fillId="9" borderId="28" xfId="0" applyFont="1" applyFill="1" applyBorder="1" applyAlignment="1">
      <alignment horizontal="center" vertical="center" wrapText="1"/>
    </xf>
    <xf numFmtId="0" fontId="24" fillId="0" borderId="49" xfId="3" applyFont="1" applyBorder="1" applyAlignment="1">
      <alignment horizontal="center" vertical="center" wrapText="1"/>
    </xf>
    <xf numFmtId="0" fontId="26" fillId="0" borderId="46" xfId="3" applyFont="1" applyBorder="1" applyAlignment="1">
      <alignment horizontal="center" vertical="center" wrapText="1"/>
    </xf>
    <xf numFmtId="0" fontId="26" fillId="0" borderId="12" xfId="3" applyFont="1" applyBorder="1" applyAlignment="1">
      <alignment horizontal="center" vertical="center" wrapText="1"/>
    </xf>
    <xf numFmtId="0" fontId="26" fillId="0" borderId="22" xfId="3" applyFont="1" applyBorder="1" applyAlignment="1">
      <alignment horizontal="center" vertical="center" wrapText="1"/>
    </xf>
    <xf numFmtId="0" fontId="26" fillId="0" borderId="47" xfId="3" applyFont="1" applyBorder="1" applyAlignment="1">
      <alignment horizontal="center" vertical="center" wrapText="1"/>
    </xf>
    <xf numFmtId="0" fontId="26" fillId="0" borderId="48" xfId="3" applyFont="1" applyBorder="1" applyAlignment="1">
      <alignment horizontal="center" vertical="center" wrapText="1"/>
    </xf>
    <xf numFmtId="0" fontId="26" fillId="0" borderId="13" xfId="3" applyFont="1" applyBorder="1" applyAlignment="1">
      <alignment horizontal="center" vertical="center" wrapText="1"/>
    </xf>
    <xf numFmtId="0" fontId="3" fillId="17" borderId="49" xfId="0" applyFont="1" applyFill="1" applyBorder="1" applyAlignment="1">
      <alignment horizontal="center" vertical="center" wrapText="1"/>
    </xf>
    <xf numFmtId="0" fontId="26" fillId="0" borderId="46" xfId="2" applyFont="1" applyBorder="1" applyAlignment="1">
      <alignment horizontal="center" vertical="center" wrapText="1"/>
    </xf>
    <xf numFmtId="0" fontId="26" fillId="0" borderId="12" xfId="2" applyFont="1" applyBorder="1" applyAlignment="1">
      <alignment horizontal="center" vertical="center" wrapText="1"/>
    </xf>
    <xf numFmtId="0" fontId="26" fillId="0" borderId="48" xfId="2" applyFont="1" applyBorder="1" applyAlignment="1">
      <alignment horizontal="center" vertical="center" wrapText="1"/>
    </xf>
    <xf numFmtId="0" fontId="26" fillId="0" borderId="13" xfId="2" applyFont="1" applyBorder="1" applyAlignment="1">
      <alignment horizontal="center" vertical="center" wrapText="1"/>
    </xf>
    <xf numFmtId="0" fontId="26" fillId="0" borderId="49" xfId="2" applyFont="1" applyBorder="1" applyAlignment="1">
      <alignment horizontal="center" vertical="center" wrapText="1"/>
    </xf>
    <xf numFmtId="0" fontId="26" fillId="0" borderId="22" xfId="2" applyFont="1" applyBorder="1" applyAlignment="1">
      <alignment horizontal="center" vertical="center" wrapText="1"/>
    </xf>
    <xf numFmtId="0" fontId="26" fillId="0" borderId="47" xfId="2" applyFont="1" applyBorder="1" applyAlignment="1">
      <alignment horizontal="center" vertical="center" wrapText="1"/>
    </xf>
    <xf numFmtId="0" fontId="24" fillId="0" borderId="49" xfId="3" quotePrefix="1" applyFont="1" applyBorder="1" applyAlignment="1">
      <alignment horizontal="center" vertical="center" wrapText="1"/>
    </xf>
    <xf numFmtId="0" fontId="24" fillId="0" borderId="49" xfId="2" applyFont="1" applyBorder="1" applyAlignment="1">
      <alignment horizontal="center" vertical="center" wrapText="1"/>
    </xf>
    <xf numFmtId="0" fontId="24" fillId="0" borderId="46" xfId="2" applyFont="1" applyBorder="1" applyAlignment="1">
      <alignment horizontal="center" vertical="center" wrapText="1"/>
    </xf>
    <xf numFmtId="0" fontId="24" fillId="0" borderId="12" xfId="2" applyFont="1" applyBorder="1" applyAlignment="1">
      <alignment horizontal="center" vertical="center" wrapText="1"/>
    </xf>
    <xf numFmtId="0" fontId="24" fillId="0" borderId="48" xfId="2" applyFont="1" applyBorder="1" applyAlignment="1">
      <alignment horizontal="center" vertical="center" wrapText="1"/>
    </xf>
    <xf numFmtId="0" fontId="24" fillId="0" borderId="13" xfId="2" applyFont="1" applyBorder="1" applyAlignment="1">
      <alignment horizontal="center" vertical="center" wrapText="1"/>
    </xf>
    <xf numFmtId="0" fontId="6" fillId="8" borderId="40" xfId="0" applyFont="1" applyFill="1" applyBorder="1" applyAlignment="1">
      <alignment horizontal="center" vertical="center" wrapText="1"/>
    </xf>
    <xf numFmtId="0" fontId="7" fillId="9" borderId="50" xfId="0" applyFont="1" applyFill="1" applyBorder="1" applyAlignment="1">
      <alignment horizontal="center" vertical="center" wrapText="1"/>
    </xf>
    <xf numFmtId="0" fontId="7" fillId="9" borderId="51" xfId="0" applyFont="1" applyFill="1" applyBorder="1" applyAlignment="1">
      <alignment horizontal="center" vertical="center" wrapText="1"/>
    </xf>
    <xf numFmtId="0" fontId="24" fillId="0" borderId="22" xfId="2" applyFont="1" applyBorder="1" applyAlignment="1">
      <alignment horizontal="center" vertical="center" wrapText="1"/>
    </xf>
    <xf numFmtId="0" fontId="24" fillId="0" borderId="47" xfId="2" applyFont="1" applyBorder="1" applyAlignment="1">
      <alignment horizontal="center" vertical="center" wrapText="1"/>
    </xf>
    <xf numFmtId="0" fontId="24" fillId="0" borderId="46" xfId="3" applyFont="1" applyBorder="1" applyAlignment="1">
      <alignment horizontal="center" vertical="center" wrapText="1"/>
    </xf>
    <xf numFmtId="0" fontId="24" fillId="0" borderId="48" xfId="3" applyFont="1" applyBorder="1" applyAlignment="1">
      <alignment horizontal="center" vertical="center" wrapText="1"/>
    </xf>
    <xf numFmtId="0" fontId="25" fillId="0" borderId="49" xfId="3" applyFont="1" applyBorder="1" applyAlignment="1">
      <alignment horizontal="center" vertical="center" wrapText="1"/>
    </xf>
    <xf numFmtId="0" fontId="25" fillId="0" borderId="11" xfId="3" applyFont="1" applyBorder="1" applyAlignment="1">
      <alignment horizontal="center" vertical="center" wrapText="1"/>
    </xf>
    <xf numFmtId="0" fontId="27" fillId="0" borderId="49" xfId="2" applyFont="1" applyBorder="1" applyAlignment="1">
      <alignment horizontal="center" vertical="center" wrapText="1"/>
    </xf>
    <xf numFmtId="0" fontId="14" fillId="0" borderId="21" xfId="0" applyFont="1" applyBorder="1" applyAlignment="1">
      <alignment horizontal="center" vertical="center"/>
    </xf>
    <xf numFmtId="0" fontId="15" fillId="0" borderId="21" xfId="0" applyFont="1" applyBorder="1"/>
    <xf numFmtId="0" fontId="0" fillId="0" borderId="21" xfId="0" applyBorder="1" applyAlignment="1">
      <alignment horizontal="center"/>
    </xf>
    <xf numFmtId="0" fontId="0" fillId="0" borderId="3" xfId="0" applyBorder="1" applyAlignment="1">
      <alignment horizontal="center"/>
    </xf>
    <xf numFmtId="0" fontId="47" fillId="9" borderId="9" xfId="0" applyFont="1" applyFill="1" applyBorder="1" applyAlignment="1">
      <alignment horizontal="center" vertical="center" wrapText="1"/>
    </xf>
    <xf numFmtId="3" fontId="54" fillId="0" borderId="9" xfId="0" applyNumberFormat="1" applyFont="1" applyFill="1" applyBorder="1" applyAlignment="1">
      <alignment horizontal="center" vertical="center"/>
    </xf>
    <xf numFmtId="0" fontId="54" fillId="0" borderId="9" xfId="0" applyFont="1" applyBorder="1" applyAlignment="1">
      <alignment horizontal="center" vertical="center"/>
    </xf>
    <xf numFmtId="3" fontId="54" fillId="0" borderId="9" xfId="0" applyNumberFormat="1" applyFont="1" applyBorder="1" applyAlignment="1">
      <alignment horizontal="center" vertical="center"/>
    </xf>
    <xf numFmtId="4" fontId="54" fillId="0" borderId="9" xfId="0" applyNumberFormat="1" applyFont="1" applyFill="1" applyBorder="1" applyAlignment="1">
      <alignment horizontal="center" vertical="center"/>
    </xf>
    <xf numFmtId="4" fontId="54" fillId="35" borderId="9" xfId="0" applyNumberFormat="1" applyFont="1" applyFill="1"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8" fillId="4" borderId="3" xfId="0" applyFont="1" applyFill="1" applyBorder="1" applyAlignment="1">
      <alignment horizontal="center" vertical="center"/>
    </xf>
    <xf numFmtId="0" fontId="0" fillId="4" borderId="3" xfId="0" applyFill="1" applyBorder="1"/>
    <xf numFmtId="0" fontId="1" fillId="0" borderId="3" xfId="0" applyFont="1" applyFill="1" applyBorder="1" applyAlignment="1">
      <alignment horizontal="center" vertical="center" wrapText="1"/>
    </xf>
    <xf numFmtId="0" fontId="0" fillId="0" borderId="3" xfId="0" applyFill="1" applyBorder="1"/>
    <xf numFmtId="0" fontId="55" fillId="0" borderId="3" xfId="0" applyFont="1" applyBorder="1" applyAlignment="1">
      <alignment horizontal="center" vertical="center" wrapText="1"/>
    </xf>
    <xf numFmtId="0" fontId="54" fillId="35" borderId="9" xfId="0" applyFont="1" applyFill="1" applyBorder="1" applyAlignment="1">
      <alignment horizontal="center" vertical="center"/>
    </xf>
    <xf numFmtId="0" fontId="24" fillId="0" borderId="9" xfId="2" applyFont="1" applyBorder="1" applyAlignment="1">
      <alignment horizontal="center" vertical="center" wrapText="1"/>
    </xf>
    <xf numFmtId="0" fontId="48" fillId="0" borderId="43" xfId="0" applyFont="1" applyBorder="1" applyAlignment="1">
      <alignment horizontal="center"/>
    </xf>
    <xf numFmtId="0" fontId="48" fillId="0" borderId="44" xfId="0" applyFont="1" applyBorder="1" applyAlignment="1">
      <alignment horizontal="center"/>
    </xf>
    <xf numFmtId="0" fontId="48" fillId="0" borderId="45" xfId="0" applyFont="1" applyBorder="1" applyAlignment="1">
      <alignment horizontal="center"/>
    </xf>
    <xf numFmtId="0" fontId="7" fillId="9" borderId="6" xfId="0" applyFont="1" applyFill="1" applyBorder="1" applyAlignment="1">
      <alignment horizontal="center" vertical="center" wrapText="1"/>
    </xf>
    <xf numFmtId="0" fontId="0" fillId="0" borderId="6" xfId="0" applyBorder="1" applyAlignment="1">
      <alignment horizontal="center"/>
    </xf>
    <xf numFmtId="0" fontId="0" fillId="0" borderId="25" xfId="0" applyBorder="1" applyAlignment="1">
      <alignment horizontal="center"/>
    </xf>
    <xf numFmtId="0" fontId="62" fillId="9" borderId="31" xfId="0" applyFont="1" applyFill="1" applyBorder="1" applyAlignment="1">
      <alignment horizontal="center" vertical="center" wrapText="1"/>
    </xf>
    <xf numFmtId="0" fontId="62" fillId="9" borderId="32" xfId="0" applyFont="1" applyFill="1" applyBorder="1" applyAlignment="1">
      <alignment horizontal="center" vertical="center" wrapText="1"/>
    </xf>
    <xf numFmtId="0" fontId="63" fillId="0" borderId="32" xfId="0" applyFont="1" applyBorder="1" applyAlignment="1">
      <alignment horizontal="center"/>
    </xf>
    <xf numFmtId="0" fontId="63" fillId="0" borderId="33" xfId="0" applyFont="1" applyBorder="1" applyAlignment="1">
      <alignment horizontal="center"/>
    </xf>
    <xf numFmtId="0" fontId="28" fillId="0" borderId="34" xfId="2" applyFont="1" applyBorder="1" applyAlignment="1">
      <alignment horizontal="center" vertical="center" wrapText="1"/>
    </xf>
    <xf numFmtId="0" fontId="28" fillId="0" borderId="35" xfId="2" applyFont="1" applyBorder="1" applyAlignment="1">
      <alignment horizontal="center" vertical="center" wrapText="1"/>
    </xf>
    <xf numFmtId="0" fontId="59" fillId="0" borderId="21" xfId="0" applyFont="1" applyBorder="1" applyAlignment="1">
      <alignment horizontal="center" vertical="center"/>
    </xf>
    <xf numFmtId="0" fontId="7" fillId="9" borderId="31" xfId="0" applyFont="1" applyFill="1" applyBorder="1" applyAlignment="1">
      <alignment horizontal="center" vertical="center" wrapText="1"/>
    </xf>
    <xf numFmtId="0" fontId="7" fillId="9" borderId="32" xfId="0" applyFont="1" applyFill="1" applyBorder="1" applyAlignment="1">
      <alignment horizontal="center" vertical="center" wrapText="1"/>
    </xf>
    <xf numFmtId="0" fontId="0" fillId="0" borderId="32" xfId="0" applyBorder="1" applyAlignment="1">
      <alignment horizontal="center"/>
    </xf>
    <xf numFmtId="0" fontId="0" fillId="0" borderId="33" xfId="0" applyBorder="1" applyAlignment="1">
      <alignment horizontal="center"/>
    </xf>
    <xf numFmtId="4" fontId="48" fillId="35" borderId="9" xfId="0" applyNumberFormat="1" applyFont="1" applyFill="1" applyBorder="1" applyAlignment="1">
      <alignment horizontal="center" vertical="center"/>
    </xf>
    <xf numFmtId="0" fontId="0" fillId="0" borderId="21" xfId="0" applyBorder="1" applyAlignment="1">
      <alignment horizontal="center" vertical="center"/>
    </xf>
    <xf numFmtId="0" fontId="67" fillId="9" borderId="31" xfId="0" applyFont="1" applyFill="1" applyBorder="1" applyAlignment="1">
      <alignment horizontal="center" vertical="center" wrapText="1"/>
    </xf>
    <xf numFmtId="0" fontId="67" fillId="9" borderId="32" xfId="0" applyFont="1" applyFill="1" applyBorder="1" applyAlignment="1">
      <alignment horizontal="center" vertical="center" wrapText="1"/>
    </xf>
    <xf numFmtId="0" fontId="68" fillId="0" borderId="32" xfId="0" applyFont="1" applyBorder="1" applyAlignment="1">
      <alignment horizontal="center"/>
    </xf>
    <xf numFmtId="0" fontId="68" fillId="0" borderId="33" xfId="0" applyFont="1" applyBorder="1" applyAlignment="1">
      <alignment horizontal="center"/>
    </xf>
    <xf numFmtId="0" fontId="0" fillId="0" borderId="5" xfId="0" applyBorder="1" applyAlignment="1">
      <alignment horizontal="center" vertical="center"/>
    </xf>
    <xf numFmtId="0" fontId="0" fillId="0" borderId="2" xfId="0" applyBorder="1" applyAlignment="1">
      <alignment horizontal="center" vertical="center"/>
    </xf>
    <xf numFmtId="0" fontId="8" fillId="4" borderId="4" xfId="0" applyFont="1" applyFill="1" applyBorder="1" applyAlignment="1">
      <alignment horizontal="center" vertical="center"/>
    </xf>
    <xf numFmtId="0" fontId="1" fillId="0" borderId="21" xfId="0" applyFont="1" applyFill="1" applyBorder="1" applyAlignment="1">
      <alignment horizontal="center" vertical="center" wrapText="1"/>
    </xf>
    <xf numFmtId="0" fontId="65" fillId="9" borderId="31" xfId="0" applyFont="1" applyFill="1" applyBorder="1" applyAlignment="1">
      <alignment horizontal="center" vertical="center" wrapText="1"/>
    </xf>
    <xf numFmtId="0" fontId="65" fillId="9" borderId="32" xfId="0" applyFont="1" applyFill="1" applyBorder="1" applyAlignment="1">
      <alignment horizontal="center" vertical="center" wrapText="1"/>
    </xf>
    <xf numFmtId="0" fontId="66" fillId="0" borderId="32" xfId="0" applyFont="1" applyBorder="1" applyAlignment="1">
      <alignment horizontal="center"/>
    </xf>
    <xf numFmtId="0" fontId="66" fillId="0" borderId="33" xfId="0" applyFont="1" applyBorder="1" applyAlignment="1">
      <alignment horizontal="center"/>
    </xf>
    <xf numFmtId="0" fontId="41" fillId="0" borderId="21" xfId="0" applyFont="1" applyBorder="1" applyAlignment="1">
      <alignment horizontal="center" vertical="center"/>
    </xf>
    <xf numFmtId="0" fontId="42" fillId="0" borderId="21" xfId="0" applyFont="1" applyBorder="1"/>
    <xf numFmtId="0" fontId="21" fillId="0" borderId="9" xfId="1" applyFont="1" applyBorder="1" applyAlignment="1">
      <alignment horizontal="center" vertical="center" wrapText="1"/>
    </xf>
    <xf numFmtId="0" fontId="21" fillId="0" borderId="9" xfId="2" applyFont="1" applyBorder="1" applyAlignment="1">
      <alignment horizontal="center" vertical="center" wrapText="1"/>
    </xf>
    <xf numFmtId="0" fontId="0" fillId="0" borderId="21" xfId="0" applyFill="1" applyBorder="1"/>
    <xf numFmtId="0" fontId="6" fillId="8" borderId="56" xfId="0" applyFont="1" applyFill="1" applyBorder="1" applyAlignment="1">
      <alignment horizontal="left" vertical="center" wrapText="1"/>
    </xf>
    <xf numFmtId="0" fontId="0" fillId="0" borderId="57" xfId="0" applyBorder="1"/>
    <xf numFmtId="0" fontId="65" fillId="9" borderId="52" xfId="0" applyFont="1" applyFill="1" applyBorder="1" applyAlignment="1">
      <alignment horizontal="center" vertical="center" wrapText="1"/>
    </xf>
    <xf numFmtId="0" fontId="66" fillId="0" borderId="53" xfId="0" applyFont="1" applyBorder="1" applyAlignment="1">
      <alignment horizontal="center"/>
    </xf>
    <xf numFmtId="0" fontId="66" fillId="0" borderId="54" xfId="0" applyFont="1" applyBorder="1" applyAlignment="1">
      <alignment horizontal="center"/>
    </xf>
  </cellXfs>
  <cellStyles count="6">
    <cellStyle name="Normal" xfId="0" builtinId="0"/>
    <cellStyle name="Normal 11 2" xfId="2" xr:uid="{624F6DF7-D94A-456E-93E8-698B3E7B7977}"/>
    <cellStyle name="Normal 12 2" xfId="4" xr:uid="{67EB0D19-AFCB-4CEC-AA63-686C040074DF}"/>
    <cellStyle name="Normal 18 5" xfId="3" xr:uid="{454D8596-E1BD-40FF-962A-F043B7C70DF0}"/>
    <cellStyle name="Normal 18 6" xfId="1" xr:uid="{A591B993-9A05-4345-B896-5DA2E9DA1A22}"/>
    <cellStyle name="Normal 2" xfId="5" xr:uid="{79A04B51-DA1B-44E9-9604-23FC445FBBA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oneCellAnchor>
    <xdr:from>
      <xdr:col>0</xdr:col>
      <xdr:colOff>178005</xdr:colOff>
      <xdr:row>0</xdr:row>
      <xdr:rowOff>38100</xdr:rowOff>
    </xdr:from>
    <xdr:ext cx="1174545" cy="857250"/>
    <xdr:pic>
      <xdr:nvPicPr>
        <xdr:cNvPr id="6" name="Image 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78005" y="38100"/>
          <a:ext cx="1174545" cy="857250"/>
        </a:xfrm>
        <a:prstGeom prst="rect">
          <a:avLst/>
        </a:prstGeom>
      </xdr:spPr>
    </xdr:pic>
    <xdr:clientData/>
  </xdr:oneCellAnchor>
  <xdr:oneCellAnchor>
    <xdr:from>
      <xdr:col>1</xdr:col>
      <xdr:colOff>1163324</xdr:colOff>
      <xdr:row>0</xdr:row>
      <xdr:rowOff>104775</xdr:rowOff>
    </xdr:from>
    <xdr:ext cx="1284601" cy="809624"/>
    <xdr:pic>
      <xdr:nvPicPr>
        <xdr:cNvPr id="7" name="Image 6">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696724" y="104775"/>
          <a:ext cx="1284601" cy="809624"/>
        </a:xfrm>
        <a:prstGeom prst="rect">
          <a:avLst/>
        </a:prstGeom>
      </xdr:spPr>
    </xdr:pic>
    <xdr:clientData/>
  </xdr:oneCellAnchor>
  <xdr:oneCellAnchor>
    <xdr:from>
      <xdr:col>4</xdr:col>
      <xdr:colOff>5309909</xdr:colOff>
      <xdr:row>0</xdr:row>
      <xdr:rowOff>156322</xdr:rowOff>
    </xdr:from>
    <xdr:ext cx="830915" cy="661708"/>
    <xdr:pic>
      <xdr:nvPicPr>
        <xdr:cNvPr id="8" name="Image 7">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2515291" y="156322"/>
          <a:ext cx="830915" cy="661708"/>
        </a:xfrm>
        <a:prstGeom prst="rect">
          <a:avLst/>
        </a:prstGeom>
      </xdr:spPr>
    </xdr:pic>
    <xdr:clientData/>
  </xdr:oneCellAnchor>
  <xdr:oneCellAnchor>
    <xdr:from>
      <xdr:col>5</xdr:col>
      <xdr:colOff>638735</xdr:colOff>
      <xdr:row>0</xdr:row>
      <xdr:rowOff>252692</xdr:rowOff>
    </xdr:from>
    <xdr:ext cx="872439" cy="531720"/>
    <xdr:pic>
      <xdr:nvPicPr>
        <xdr:cNvPr id="9" name="Image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3256559" y="252692"/>
          <a:ext cx="872439" cy="53172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1071563</xdr:colOff>
          <xdr:row>4</xdr:row>
          <xdr:rowOff>1809748</xdr:rowOff>
        </xdr:from>
        <xdr:to>
          <xdr:col>5</xdr:col>
          <xdr:colOff>166688</xdr:colOff>
          <xdr:row>8</xdr:row>
          <xdr:rowOff>1071561</xdr:rowOff>
        </xdr:to>
        <xdr:pic>
          <xdr:nvPicPr>
            <xdr:cNvPr id="2" name="Picture 1">
              <a:extLst>
                <a:ext uri="{FF2B5EF4-FFF2-40B4-BE49-F238E27FC236}">
                  <a16:creationId xmlns:a16="http://schemas.microsoft.com/office/drawing/2014/main" id="{A565572B-AF42-D39A-83C5-BC559FF2EBB6}"/>
                </a:ext>
              </a:extLst>
            </xdr:cNvPr>
            <xdr:cNvPicPr>
              <a:picLocks noChangeAspect="1" noChangeArrowheads="1"/>
              <a:extLst>
                <a:ext uri="{84589F7E-364E-4C9E-8A38-B11213B215E9}">
                  <a14:cameraTool cellRange="Dashboard!$A$6:$B$12" spid="_x0000_s27653"/>
                </a:ext>
              </a:extLst>
            </xdr:cNvPicPr>
          </xdr:nvPicPr>
          <xdr:blipFill>
            <a:blip xmlns:r="http://schemas.openxmlformats.org/officeDocument/2006/relationships" r:embed="rId1"/>
            <a:srcRect/>
            <a:stretch>
              <a:fillRect/>
            </a:stretch>
          </xdr:blipFill>
          <xdr:spPr bwMode="auto">
            <a:xfrm>
              <a:off x="10141291312" y="7191373"/>
              <a:ext cx="16549688" cy="153590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0</xdr:col>
      <xdr:colOff>149680</xdr:colOff>
      <xdr:row>29</xdr:row>
      <xdr:rowOff>138259</xdr:rowOff>
    </xdr:from>
    <xdr:ext cx="996998" cy="711788"/>
    <xdr:pic>
      <xdr:nvPicPr>
        <xdr:cNvPr id="8" name="Image 5">
          <a:extLst>
            <a:ext uri="{FF2B5EF4-FFF2-40B4-BE49-F238E27FC236}">
              <a16:creationId xmlns:a16="http://schemas.microsoft.com/office/drawing/2014/main" id="{3008F382-98D9-4DBC-8B14-C10DF55ECA0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49680" y="18358223"/>
          <a:ext cx="996998" cy="711788"/>
        </a:xfrm>
        <a:prstGeom prst="rect">
          <a:avLst/>
        </a:prstGeom>
      </xdr:spPr>
    </xdr:pic>
    <xdr:clientData/>
  </xdr:oneCellAnchor>
  <xdr:oneCellAnchor>
    <xdr:from>
      <xdr:col>0</xdr:col>
      <xdr:colOff>1668559</xdr:colOff>
      <xdr:row>29</xdr:row>
      <xdr:rowOff>88731</xdr:rowOff>
    </xdr:from>
    <xdr:ext cx="1185160" cy="705286"/>
    <xdr:pic>
      <xdr:nvPicPr>
        <xdr:cNvPr id="9" name="Image 6">
          <a:extLst>
            <a:ext uri="{FF2B5EF4-FFF2-40B4-BE49-F238E27FC236}">
              <a16:creationId xmlns:a16="http://schemas.microsoft.com/office/drawing/2014/main" id="{C59DA0DE-CE4A-4C83-9F81-A30EA46076B4}"/>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668559" y="18308695"/>
          <a:ext cx="1185160" cy="705286"/>
        </a:xfrm>
        <a:prstGeom prst="rect">
          <a:avLst/>
        </a:prstGeom>
      </xdr:spPr>
    </xdr:pic>
    <xdr:clientData/>
  </xdr:oneCellAnchor>
  <xdr:oneCellAnchor>
    <xdr:from>
      <xdr:col>11</xdr:col>
      <xdr:colOff>387033</xdr:colOff>
      <xdr:row>29</xdr:row>
      <xdr:rowOff>144501</xdr:rowOff>
    </xdr:from>
    <xdr:ext cx="1188931" cy="622301"/>
    <xdr:pic>
      <xdr:nvPicPr>
        <xdr:cNvPr id="10" name="Image 7">
          <a:extLst>
            <a:ext uri="{FF2B5EF4-FFF2-40B4-BE49-F238E27FC236}">
              <a16:creationId xmlns:a16="http://schemas.microsoft.com/office/drawing/2014/main" id="{0B9A6F8E-6D6A-4E11-A37E-528794657C1D}"/>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1954354" y="18364465"/>
          <a:ext cx="1188931" cy="622301"/>
        </a:xfrm>
        <a:prstGeom prst="rect">
          <a:avLst/>
        </a:prstGeom>
      </xdr:spPr>
    </xdr:pic>
    <xdr:clientData/>
  </xdr:oneCellAnchor>
  <xdr:oneCellAnchor>
    <xdr:from>
      <xdr:col>12</xdr:col>
      <xdr:colOff>1351110</xdr:colOff>
      <xdr:row>29</xdr:row>
      <xdr:rowOff>163286</xdr:rowOff>
    </xdr:from>
    <xdr:ext cx="1070961" cy="564297"/>
    <xdr:pic>
      <xdr:nvPicPr>
        <xdr:cNvPr id="11" name="Image 8">
          <a:extLst>
            <a:ext uri="{FF2B5EF4-FFF2-40B4-BE49-F238E27FC236}">
              <a16:creationId xmlns:a16="http://schemas.microsoft.com/office/drawing/2014/main" id="{A04BF50C-FA63-4FBE-975A-FB25560FEB65}"/>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3530753" y="18383250"/>
          <a:ext cx="1070961" cy="564297"/>
        </a:xfrm>
        <a:prstGeom prst="rect">
          <a:avLst/>
        </a:prstGeom>
      </xdr:spPr>
    </xdr:pic>
    <xdr:clientData/>
  </xdr:oneCellAnchor>
  <xdr:oneCellAnchor>
    <xdr:from>
      <xdr:col>0</xdr:col>
      <xdr:colOff>91142</xdr:colOff>
      <xdr:row>0</xdr:row>
      <xdr:rowOff>348886</xdr:rowOff>
    </xdr:from>
    <xdr:ext cx="1164391" cy="1249664"/>
    <xdr:pic>
      <xdr:nvPicPr>
        <xdr:cNvPr id="2" name="Image 5">
          <a:extLst>
            <a:ext uri="{FF2B5EF4-FFF2-40B4-BE49-F238E27FC236}">
              <a16:creationId xmlns:a16="http://schemas.microsoft.com/office/drawing/2014/main" id="{6B5FE918-1408-4739-AD2F-7CC8FC580C8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1142" y="348886"/>
          <a:ext cx="1164391" cy="1249664"/>
        </a:xfrm>
        <a:prstGeom prst="rect">
          <a:avLst/>
        </a:prstGeom>
      </xdr:spPr>
    </xdr:pic>
    <xdr:clientData/>
  </xdr:oneCellAnchor>
  <xdr:oneCellAnchor>
    <xdr:from>
      <xdr:col>0</xdr:col>
      <xdr:colOff>1578430</xdr:colOff>
      <xdr:row>1</xdr:row>
      <xdr:rowOff>27214</xdr:rowOff>
    </xdr:from>
    <xdr:ext cx="1384145" cy="1238249"/>
    <xdr:pic>
      <xdr:nvPicPr>
        <xdr:cNvPr id="3" name="Image 6">
          <a:extLst>
            <a:ext uri="{FF2B5EF4-FFF2-40B4-BE49-F238E27FC236}">
              <a16:creationId xmlns:a16="http://schemas.microsoft.com/office/drawing/2014/main" id="{A35AE6C9-76DA-4DEF-95B4-19C45C4CB3E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578430" y="381000"/>
          <a:ext cx="1384145" cy="1238249"/>
        </a:xfrm>
        <a:prstGeom prst="rect">
          <a:avLst/>
        </a:prstGeom>
      </xdr:spPr>
    </xdr:pic>
    <xdr:clientData/>
  </xdr:oneCellAnchor>
  <xdr:oneCellAnchor>
    <xdr:from>
      <xdr:col>11</xdr:col>
      <xdr:colOff>296270</xdr:colOff>
      <xdr:row>1</xdr:row>
      <xdr:rowOff>1342</xdr:rowOff>
    </xdr:from>
    <xdr:ext cx="1388549" cy="1092555"/>
    <xdr:pic>
      <xdr:nvPicPr>
        <xdr:cNvPr id="4" name="Image 7">
          <a:extLst>
            <a:ext uri="{FF2B5EF4-FFF2-40B4-BE49-F238E27FC236}">
              <a16:creationId xmlns:a16="http://schemas.microsoft.com/office/drawing/2014/main" id="{66F513F8-6B7A-4D12-8134-C400D8D85A27}"/>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1863591" y="355128"/>
          <a:ext cx="1388549" cy="1092555"/>
        </a:xfrm>
        <a:prstGeom prst="rect">
          <a:avLst/>
        </a:prstGeom>
      </xdr:spPr>
    </xdr:pic>
    <xdr:clientData/>
  </xdr:oneCellAnchor>
  <xdr:oneCellAnchor>
    <xdr:from>
      <xdr:col>12</xdr:col>
      <xdr:colOff>1280155</xdr:colOff>
      <xdr:row>1</xdr:row>
      <xdr:rowOff>20127</xdr:rowOff>
    </xdr:from>
    <xdr:ext cx="1250772" cy="990719"/>
    <xdr:pic>
      <xdr:nvPicPr>
        <xdr:cNvPr id="5" name="Image 8">
          <a:extLst>
            <a:ext uri="{FF2B5EF4-FFF2-40B4-BE49-F238E27FC236}">
              <a16:creationId xmlns:a16="http://schemas.microsoft.com/office/drawing/2014/main" id="{3D58073B-BC83-4B6F-A16D-285BD38725D2}"/>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3459798" y="373913"/>
          <a:ext cx="1250772" cy="990719"/>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0177696F-D3A4-41D3-A521-B9FBBF29A54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DEB9847F-D98D-4E3D-A823-9C71B215779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0223D14D-68C7-4A69-A9AE-0C780DCC4AFB}"/>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A02929E8-352C-4800-843D-2525F6753231}"/>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638175</xdr:colOff>
      <xdr:row>0</xdr:row>
      <xdr:rowOff>47625</xdr:rowOff>
    </xdr:from>
    <xdr:ext cx="988941" cy="615204"/>
    <xdr:pic>
      <xdr:nvPicPr>
        <xdr:cNvPr id="2" name="Image 5">
          <a:extLst>
            <a:ext uri="{FF2B5EF4-FFF2-40B4-BE49-F238E27FC236}">
              <a16:creationId xmlns:a16="http://schemas.microsoft.com/office/drawing/2014/main" id="{4119B5A5-0FB4-4550-A0EB-C95B85E3D37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219200" y="47625"/>
          <a:ext cx="988941" cy="615204"/>
        </a:xfrm>
        <a:prstGeom prst="rect">
          <a:avLst/>
        </a:prstGeom>
      </xdr:spPr>
    </xdr:pic>
    <xdr:clientData/>
  </xdr:oneCellAnchor>
  <xdr:oneCellAnchor>
    <xdr:from>
      <xdr:col>0</xdr:col>
      <xdr:colOff>32820</xdr:colOff>
      <xdr:row>0</xdr:row>
      <xdr:rowOff>47625</xdr:rowOff>
    </xdr:from>
    <xdr:ext cx="1081606" cy="581025"/>
    <xdr:pic>
      <xdr:nvPicPr>
        <xdr:cNvPr id="3" name="Image 6">
          <a:extLst>
            <a:ext uri="{FF2B5EF4-FFF2-40B4-BE49-F238E27FC236}">
              <a16:creationId xmlns:a16="http://schemas.microsoft.com/office/drawing/2014/main" id="{19C39BF6-D3DB-4ADD-917E-3A31C38E368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2820" y="47625"/>
          <a:ext cx="1081606" cy="581025"/>
        </a:xfrm>
        <a:prstGeom prst="rect">
          <a:avLst/>
        </a:prstGeom>
      </xdr:spPr>
    </xdr:pic>
    <xdr:clientData/>
  </xdr:oneCellAnchor>
  <xdr:oneCellAnchor>
    <xdr:from>
      <xdr:col>10</xdr:col>
      <xdr:colOff>230791</xdr:colOff>
      <xdr:row>0</xdr:row>
      <xdr:rowOff>9525</xdr:rowOff>
    </xdr:from>
    <xdr:ext cx="1070214" cy="812708"/>
    <xdr:pic>
      <xdr:nvPicPr>
        <xdr:cNvPr id="4" name="Image 7">
          <a:extLst>
            <a:ext uri="{FF2B5EF4-FFF2-40B4-BE49-F238E27FC236}">
              <a16:creationId xmlns:a16="http://schemas.microsoft.com/office/drawing/2014/main" id="{98CE2894-1CC7-43C4-93D9-8B6C9C22F159}"/>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7365016" y="9525"/>
          <a:ext cx="1070214" cy="812708"/>
        </a:xfrm>
        <a:prstGeom prst="rect">
          <a:avLst/>
        </a:prstGeom>
      </xdr:spPr>
    </xdr:pic>
    <xdr:clientData/>
  </xdr:oneCellAnchor>
  <xdr:oneCellAnchor>
    <xdr:from>
      <xdr:col>12</xdr:col>
      <xdr:colOff>156429</xdr:colOff>
      <xdr:row>0</xdr:row>
      <xdr:rowOff>152400</xdr:rowOff>
    </xdr:from>
    <xdr:ext cx="1015146" cy="541805"/>
    <xdr:pic>
      <xdr:nvPicPr>
        <xdr:cNvPr id="5" name="Image 8">
          <a:extLst>
            <a:ext uri="{FF2B5EF4-FFF2-40B4-BE49-F238E27FC236}">
              <a16:creationId xmlns:a16="http://schemas.microsoft.com/office/drawing/2014/main" id="{A93CEBB8-505C-4F49-9984-4E8671CDFD6A}"/>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8567004" y="152400"/>
          <a:ext cx="1015146" cy="54180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84C964DA-68C7-41CE-9E76-4C65607E7D5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657F3406-B031-4D66-90AA-0C506202AD4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60D1228B-6FD4-4B83-9F7F-8299E58C955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33155ED0-3066-4FA7-BA98-DDD41D514F4E}"/>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1596F8C2-3427-44A1-B96F-8EDF6DF6B80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ABFC52AF-0736-4023-8792-0A2F5D204835}"/>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32E777C1-F97B-40FD-BB12-F0CC64E1FBF7}"/>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CBDD6DEE-BF80-4EF8-8752-7F75C90373C3}"/>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EACA5A79-1B81-4903-8D50-DAC0C2BD325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4904A9EC-755A-48B3-ADB5-159B01303D0E}"/>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FC9EA52A-9509-486A-97B8-1F791550BF6B}"/>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B79D5F2D-C3F4-4EFA-8857-4C490FB1696F}"/>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2704FC2F-00CC-4D8E-A9F7-B6C55531FF3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D541D3FD-E1E8-4ED6-B335-A333967DF2C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3E497517-AEA4-4E05-A780-41876C172D23}"/>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A401F6CE-2C51-4249-9E6D-9623CD326882}"/>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9A67A252-C403-4DFF-A66E-DF774729110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168CFE1D-AC0B-4217-A489-F756820D0BBF}"/>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F3BEC686-1F72-4571-BC30-B225A3C79F87}"/>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DF762BFA-B71A-455A-BD34-C42937AB1348}"/>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DE5EA154-C9AC-42D8-B162-B45C0435706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9ABD8F40-06A4-44D8-9167-D0F3B884DD8A}"/>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52B795AE-D6AF-4BF3-AD4D-D996161A4F74}"/>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852110E3-EF16-4137-9942-49361A1DAC5E}"/>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69285D9C-404D-4047-828C-04520E50985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32301E41-C018-4A07-BE48-C1DEE54D125E}"/>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45A59DE4-590A-467D-993C-431DB90053B7}"/>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A355BC18-F241-41DD-8FAA-0ECDCCA75988}"/>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4F90A012-58FB-4497-8077-255EE13CBCE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70D9FD0F-8ADF-4D84-978B-80C59368AC5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A6CEA871-AE76-40DF-9CD3-A99A8B740B03}"/>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091790F3-A235-4D35-B145-20D0D0E73DBE}"/>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136071</xdr:colOff>
      <xdr:row>0</xdr:row>
      <xdr:rowOff>285750</xdr:rowOff>
    </xdr:from>
    <xdr:ext cx="1211036" cy="887346"/>
    <xdr:pic>
      <xdr:nvPicPr>
        <xdr:cNvPr id="11" name="Image 5">
          <a:extLst>
            <a:ext uri="{FF2B5EF4-FFF2-40B4-BE49-F238E27FC236}">
              <a16:creationId xmlns:a16="http://schemas.microsoft.com/office/drawing/2014/main" id="{F94F7AEF-6E31-498D-B727-33CBD0D9D26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36071" y="285750"/>
          <a:ext cx="1211036" cy="887346"/>
        </a:xfrm>
        <a:prstGeom prst="rect">
          <a:avLst/>
        </a:prstGeom>
      </xdr:spPr>
    </xdr:pic>
    <xdr:clientData/>
  </xdr:oneCellAnchor>
  <xdr:oneCellAnchor>
    <xdr:from>
      <xdr:col>0</xdr:col>
      <xdr:colOff>1341827</xdr:colOff>
      <xdr:row>0</xdr:row>
      <xdr:rowOff>243567</xdr:rowOff>
    </xdr:from>
    <xdr:ext cx="1202708" cy="994683"/>
    <xdr:pic>
      <xdr:nvPicPr>
        <xdr:cNvPr id="12" name="Image 6">
          <a:extLst>
            <a:ext uri="{FF2B5EF4-FFF2-40B4-BE49-F238E27FC236}">
              <a16:creationId xmlns:a16="http://schemas.microsoft.com/office/drawing/2014/main" id="{9820F1DF-63B4-4B7B-A19B-3E03EC59F703}"/>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341827" y="243567"/>
          <a:ext cx="1202708" cy="994683"/>
        </a:xfrm>
        <a:prstGeom prst="rect">
          <a:avLst/>
        </a:prstGeom>
      </xdr:spPr>
    </xdr:pic>
    <xdr:clientData/>
  </xdr:oneCellAnchor>
  <xdr:oneCellAnchor>
    <xdr:from>
      <xdr:col>11</xdr:col>
      <xdr:colOff>217184</xdr:colOff>
      <xdr:row>0</xdr:row>
      <xdr:rowOff>267380</xdr:rowOff>
    </xdr:from>
    <xdr:ext cx="1070214" cy="812708"/>
    <xdr:pic>
      <xdr:nvPicPr>
        <xdr:cNvPr id="13" name="Image 7">
          <a:extLst>
            <a:ext uri="{FF2B5EF4-FFF2-40B4-BE49-F238E27FC236}">
              <a16:creationId xmlns:a16="http://schemas.microsoft.com/office/drawing/2014/main" id="{3BB0D1E3-DFB5-434D-B552-203418D96A06}"/>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817898" y="267380"/>
          <a:ext cx="1070214" cy="812708"/>
        </a:xfrm>
        <a:prstGeom prst="rect">
          <a:avLst/>
        </a:prstGeom>
      </xdr:spPr>
    </xdr:pic>
    <xdr:clientData/>
  </xdr:oneCellAnchor>
  <xdr:oneCellAnchor>
    <xdr:from>
      <xdr:col>11</xdr:col>
      <xdr:colOff>1508979</xdr:colOff>
      <xdr:row>1</xdr:row>
      <xdr:rowOff>110218</xdr:rowOff>
    </xdr:from>
    <xdr:ext cx="1015146" cy="541805"/>
    <xdr:pic>
      <xdr:nvPicPr>
        <xdr:cNvPr id="14" name="Image 8">
          <a:extLst>
            <a:ext uri="{FF2B5EF4-FFF2-40B4-BE49-F238E27FC236}">
              <a16:creationId xmlns:a16="http://schemas.microsoft.com/office/drawing/2014/main" id="{DCA750B9-9B4D-4499-96B0-591A30786668}"/>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8109693" y="464004"/>
          <a:ext cx="1015146" cy="541805"/>
        </a:xfrm>
        <a:prstGeom prst="rect">
          <a:avLst/>
        </a:prstGeom>
      </xdr:spPr>
    </xdr:pic>
    <xdr:clientData/>
  </xdr:oneCellAnchor>
  <xdr:oneCellAnchor>
    <xdr:from>
      <xdr:col>0</xdr:col>
      <xdr:colOff>79375</xdr:colOff>
      <xdr:row>20</xdr:row>
      <xdr:rowOff>240028</xdr:rowOff>
    </xdr:from>
    <xdr:ext cx="996998" cy="711788"/>
    <xdr:pic>
      <xdr:nvPicPr>
        <xdr:cNvPr id="2" name="Image 5">
          <a:extLst>
            <a:ext uri="{FF2B5EF4-FFF2-40B4-BE49-F238E27FC236}">
              <a16:creationId xmlns:a16="http://schemas.microsoft.com/office/drawing/2014/main" id="{29946051-6A29-456F-AAB6-B2A6CAEE9B3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9375" y="13209903"/>
          <a:ext cx="996998" cy="711788"/>
        </a:xfrm>
        <a:prstGeom prst="rect">
          <a:avLst/>
        </a:prstGeom>
      </xdr:spPr>
    </xdr:pic>
    <xdr:clientData/>
  </xdr:oneCellAnchor>
  <xdr:oneCellAnchor>
    <xdr:from>
      <xdr:col>0</xdr:col>
      <xdr:colOff>1264879</xdr:colOff>
      <xdr:row>20</xdr:row>
      <xdr:rowOff>269875</xdr:rowOff>
    </xdr:from>
    <xdr:ext cx="1185160" cy="705286"/>
    <xdr:pic>
      <xdr:nvPicPr>
        <xdr:cNvPr id="3" name="Image 6">
          <a:extLst>
            <a:ext uri="{FF2B5EF4-FFF2-40B4-BE49-F238E27FC236}">
              <a16:creationId xmlns:a16="http://schemas.microsoft.com/office/drawing/2014/main" id="{CD3DAE56-48E0-4565-B791-4FB81136518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264879" y="13239750"/>
          <a:ext cx="1185160" cy="705286"/>
        </a:xfrm>
        <a:prstGeom prst="rect">
          <a:avLst/>
        </a:prstGeom>
      </xdr:spPr>
    </xdr:pic>
    <xdr:clientData/>
  </xdr:oneCellAnchor>
  <xdr:oneCellAnchor>
    <xdr:from>
      <xdr:col>11</xdr:col>
      <xdr:colOff>460375</xdr:colOff>
      <xdr:row>20</xdr:row>
      <xdr:rowOff>127000</xdr:rowOff>
    </xdr:from>
    <xdr:ext cx="1524000" cy="825499"/>
    <xdr:pic>
      <xdr:nvPicPr>
        <xdr:cNvPr id="4" name="Image 7">
          <a:extLst>
            <a:ext uri="{FF2B5EF4-FFF2-40B4-BE49-F238E27FC236}">
              <a16:creationId xmlns:a16="http://schemas.microsoft.com/office/drawing/2014/main" id="{6873E561-87DB-412F-86A2-6850843AB511}"/>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7510125" y="13096875"/>
          <a:ext cx="1524000" cy="825499"/>
        </a:xfrm>
        <a:prstGeom prst="rect">
          <a:avLst/>
        </a:prstGeom>
      </xdr:spPr>
    </xdr:pic>
    <xdr:clientData/>
  </xdr:oneCellAnchor>
  <xdr:oneCellAnchor>
    <xdr:from>
      <xdr:col>11</xdr:col>
      <xdr:colOff>2000251</xdr:colOff>
      <xdr:row>20</xdr:row>
      <xdr:rowOff>265055</xdr:rowOff>
    </xdr:from>
    <xdr:ext cx="1560284" cy="703320"/>
    <xdr:pic>
      <xdr:nvPicPr>
        <xdr:cNvPr id="5" name="Image 8">
          <a:extLst>
            <a:ext uri="{FF2B5EF4-FFF2-40B4-BE49-F238E27FC236}">
              <a16:creationId xmlns:a16="http://schemas.microsoft.com/office/drawing/2014/main" id="{22E9D489-153F-4852-BCF2-03DBF088BD47}"/>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9050001" y="13234930"/>
          <a:ext cx="1560284" cy="703320"/>
        </a:xfrm>
        <a:prstGeom prst="rect">
          <a:avLst/>
        </a:prstGeom>
      </xdr:spPr>
    </xdr:pic>
    <xdr:clientData/>
  </xdr:oneCellAnchor>
  <xdr:oneCellAnchor>
    <xdr:from>
      <xdr:col>0</xdr:col>
      <xdr:colOff>0</xdr:colOff>
      <xdr:row>45</xdr:row>
      <xdr:rowOff>113028</xdr:rowOff>
    </xdr:from>
    <xdr:ext cx="996998" cy="711788"/>
    <xdr:pic>
      <xdr:nvPicPr>
        <xdr:cNvPr id="6" name="Image 5">
          <a:extLst>
            <a:ext uri="{FF2B5EF4-FFF2-40B4-BE49-F238E27FC236}">
              <a16:creationId xmlns:a16="http://schemas.microsoft.com/office/drawing/2014/main" id="{2CAD60B4-BF5F-4215-87CD-4BF68CE1312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27735528"/>
          <a:ext cx="996998" cy="711788"/>
        </a:xfrm>
        <a:prstGeom prst="rect">
          <a:avLst/>
        </a:prstGeom>
      </xdr:spPr>
    </xdr:pic>
    <xdr:clientData/>
  </xdr:oneCellAnchor>
  <xdr:oneCellAnchor>
    <xdr:from>
      <xdr:col>0</xdr:col>
      <xdr:colOff>1185504</xdr:colOff>
      <xdr:row>45</xdr:row>
      <xdr:rowOff>142875</xdr:rowOff>
    </xdr:from>
    <xdr:ext cx="1185160" cy="705286"/>
    <xdr:pic>
      <xdr:nvPicPr>
        <xdr:cNvPr id="7" name="Image 6">
          <a:extLst>
            <a:ext uri="{FF2B5EF4-FFF2-40B4-BE49-F238E27FC236}">
              <a16:creationId xmlns:a16="http://schemas.microsoft.com/office/drawing/2014/main" id="{1C99E152-C176-47DD-8CA7-1070769F62B4}"/>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85504" y="27765375"/>
          <a:ext cx="1185160" cy="705286"/>
        </a:xfrm>
        <a:prstGeom prst="rect">
          <a:avLst/>
        </a:prstGeom>
      </xdr:spPr>
    </xdr:pic>
    <xdr:clientData/>
  </xdr:oneCellAnchor>
  <xdr:oneCellAnchor>
    <xdr:from>
      <xdr:col>11</xdr:col>
      <xdr:colOff>381000</xdr:colOff>
      <xdr:row>43</xdr:row>
      <xdr:rowOff>0</xdr:rowOff>
    </xdr:from>
    <xdr:ext cx="1524000" cy="825499"/>
    <xdr:pic>
      <xdr:nvPicPr>
        <xdr:cNvPr id="8" name="Image 7">
          <a:extLst>
            <a:ext uri="{FF2B5EF4-FFF2-40B4-BE49-F238E27FC236}">
              <a16:creationId xmlns:a16="http://schemas.microsoft.com/office/drawing/2014/main" id="{0BDDD4AF-D323-4A7A-82C9-34D98014CA3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7430750" y="27622500"/>
          <a:ext cx="1524000" cy="825499"/>
        </a:xfrm>
        <a:prstGeom prst="rect">
          <a:avLst/>
        </a:prstGeom>
      </xdr:spPr>
    </xdr:pic>
    <xdr:clientData/>
  </xdr:oneCellAnchor>
  <xdr:oneCellAnchor>
    <xdr:from>
      <xdr:col>11</xdr:col>
      <xdr:colOff>1920876</xdr:colOff>
      <xdr:row>45</xdr:row>
      <xdr:rowOff>138055</xdr:rowOff>
    </xdr:from>
    <xdr:ext cx="1560284" cy="703320"/>
    <xdr:pic>
      <xdr:nvPicPr>
        <xdr:cNvPr id="9" name="Image 8">
          <a:extLst>
            <a:ext uri="{FF2B5EF4-FFF2-40B4-BE49-F238E27FC236}">
              <a16:creationId xmlns:a16="http://schemas.microsoft.com/office/drawing/2014/main" id="{665DED25-6528-4850-BBCA-8650B2BC7A49}"/>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8970626" y="27760555"/>
          <a:ext cx="1560284" cy="70332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3</xdr:col>
      <xdr:colOff>190500</xdr:colOff>
      <xdr:row>0</xdr:row>
      <xdr:rowOff>0</xdr:rowOff>
    </xdr:from>
    <xdr:ext cx="988941" cy="615204"/>
    <xdr:pic>
      <xdr:nvPicPr>
        <xdr:cNvPr id="2" name="Image 5">
          <a:extLst>
            <a:ext uri="{FF2B5EF4-FFF2-40B4-BE49-F238E27FC236}">
              <a16:creationId xmlns:a16="http://schemas.microsoft.com/office/drawing/2014/main" id="{4B68C972-28DF-4D47-83D3-ACB67E23A83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990975" y="0"/>
          <a:ext cx="988941" cy="615204"/>
        </a:xfrm>
        <a:prstGeom prst="rect">
          <a:avLst/>
        </a:prstGeom>
      </xdr:spPr>
    </xdr:pic>
    <xdr:clientData/>
  </xdr:oneCellAnchor>
  <xdr:oneCellAnchor>
    <xdr:from>
      <xdr:col>3</xdr:col>
      <xdr:colOff>1709220</xdr:colOff>
      <xdr:row>0</xdr:row>
      <xdr:rowOff>66675</xdr:rowOff>
    </xdr:from>
    <xdr:ext cx="1081606" cy="581025"/>
    <xdr:pic>
      <xdr:nvPicPr>
        <xdr:cNvPr id="3" name="Image 6">
          <a:extLst>
            <a:ext uri="{FF2B5EF4-FFF2-40B4-BE49-F238E27FC236}">
              <a16:creationId xmlns:a16="http://schemas.microsoft.com/office/drawing/2014/main" id="{F51F2A36-7ED4-4C37-89A7-FADABCE72E5F}"/>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509695" y="66675"/>
          <a:ext cx="1081606" cy="581025"/>
        </a:xfrm>
        <a:prstGeom prst="rect">
          <a:avLst/>
        </a:prstGeom>
      </xdr:spPr>
    </xdr:pic>
    <xdr:clientData/>
  </xdr:oneCellAnchor>
  <xdr:oneCellAnchor>
    <xdr:from>
      <xdr:col>9</xdr:col>
      <xdr:colOff>516541</xdr:colOff>
      <xdr:row>0</xdr:row>
      <xdr:rowOff>90487</xdr:rowOff>
    </xdr:from>
    <xdr:ext cx="1070214" cy="812708"/>
    <xdr:pic>
      <xdr:nvPicPr>
        <xdr:cNvPr id="4" name="Image 7">
          <a:extLst>
            <a:ext uri="{FF2B5EF4-FFF2-40B4-BE49-F238E27FC236}">
              <a16:creationId xmlns:a16="http://schemas.microsoft.com/office/drawing/2014/main" id="{6D442D29-1756-41D5-BB42-7158B9D35CED}"/>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3584841" y="90487"/>
          <a:ext cx="1070214" cy="812708"/>
        </a:xfrm>
        <a:prstGeom prst="rect">
          <a:avLst/>
        </a:prstGeom>
      </xdr:spPr>
    </xdr:pic>
    <xdr:clientData/>
  </xdr:oneCellAnchor>
  <xdr:oneCellAnchor>
    <xdr:from>
      <xdr:col>10</xdr:col>
      <xdr:colOff>270729</xdr:colOff>
      <xdr:row>0</xdr:row>
      <xdr:rowOff>219075</xdr:rowOff>
    </xdr:from>
    <xdr:ext cx="1015146" cy="541805"/>
    <xdr:pic>
      <xdr:nvPicPr>
        <xdr:cNvPr id="5" name="Image 8">
          <a:extLst>
            <a:ext uri="{FF2B5EF4-FFF2-40B4-BE49-F238E27FC236}">
              <a16:creationId xmlns:a16="http://schemas.microsoft.com/office/drawing/2014/main" id="{A5E1A351-E9A7-4D40-ACE7-FE7F1121A6B5}"/>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4805879" y="219075"/>
          <a:ext cx="1015146" cy="54180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2</xdr:col>
      <xdr:colOff>638175</xdr:colOff>
      <xdr:row>0</xdr:row>
      <xdr:rowOff>47625</xdr:rowOff>
    </xdr:from>
    <xdr:ext cx="988941" cy="615204"/>
    <xdr:pic>
      <xdr:nvPicPr>
        <xdr:cNvPr id="2" name="Image 5">
          <a:extLst>
            <a:ext uri="{FF2B5EF4-FFF2-40B4-BE49-F238E27FC236}">
              <a16:creationId xmlns:a16="http://schemas.microsoft.com/office/drawing/2014/main" id="{86B1B6B6-C15C-4AC0-91C2-38B5611A593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219200" y="47625"/>
          <a:ext cx="988941" cy="615204"/>
        </a:xfrm>
        <a:prstGeom prst="rect">
          <a:avLst/>
        </a:prstGeom>
      </xdr:spPr>
    </xdr:pic>
    <xdr:clientData/>
  </xdr:oneCellAnchor>
  <xdr:oneCellAnchor>
    <xdr:from>
      <xdr:col>0</xdr:col>
      <xdr:colOff>32820</xdr:colOff>
      <xdr:row>0</xdr:row>
      <xdr:rowOff>47625</xdr:rowOff>
    </xdr:from>
    <xdr:ext cx="1081606" cy="581025"/>
    <xdr:pic>
      <xdr:nvPicPr>
        <xdr:cNvPr id="3" name="Image 6">
          <a:extLst>
            <a:ext uri="{FF2B5EF4-FFF2-40B4-BE49-F238E27FC236}">
              <a16:creationId xmlns:a16="http://schemas.microsoft.com/office/drawing/2014/main" id="{ED923D73-95B1-478C-9562-45E76EBE928F}"/>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2820" y="47625"/>
          <a:ext cx="1081606" cy="581025"/>
        </a:xfrm>
        <a:prstGeom prst="rect">
          <a:avLst/>
        </a:prstGeom>
      </xdr:spPr>
    </xdr:pic>
    <xdr:clientData/>
  </xdr:oneCellAnchor>
  <xdr:oneCellAnchor>
    <xdr:from>
      <xdr:col>10</xdr:col>
      <xdr:colOff>230791</xdr:colOff>
      <xdr:row>0</xdr:row>
      <xdr:rowOff>9525</xdr:rowOff>
    </xdr:from>
    <xdr:ext cx="1070214" cy="812708"/>
    <xdr:pic>
      <xdr:nvPicPr>
        <xdr:cNvPr id="4" name="Image 7">
          <a:extLst>
            <a:ext uri="{FF2B5EF4-FFF2-40B4-BE49-F238E27FC236}">
              <a16:creationId xmlns:a16="http://schemas.microsoft.com/office/drawing/2014/main" id="{5D83A5A6-B58D-4381-949E-2DE0AC952D62}"/>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974491" y="9525"/>
          <a:ext cx="1070214" cy="812708"/>
        </a:xfrm>
        <a:prstGeom prst="rect">
          <a:avLst/>
        </a:prstGeom>
      </xdr:spPr>
    </xdr:pic>
    <xdr:clientData/>
  </xdr:oneCellAnchor>
  <xdr:oneCellAnchor>
    <xdr:from>
      <xdr:col>12</xdr:col>
      <xdr:colOff>156429</xdr:colOff>
      <xdr:row>0</xdr:row>
      <xdr:rowOff>152400</xdr:rowOff>
    </xdr:from>
    <xdr:ext cx="1015146" cy="541805"/>
    <xdr:pic>
      <xdr:nvPicPr>
        <xdr:cNvPr id="5" name="Image 8">
          <a:extLst>
            <a:ext uri="{FF2B5EF4-FFF2-40B4-BE49-F238E27FC236}">
              <a16:creationId xmlns:a16="http://schemas.microsoft.com/office/drawing/2014/main" id="{0D7B7EC9-96BE-4EDF-8AC1-07990E8576BC}"/>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8176479" y="152400"/>
          <a:ext cx="1015146" cy="541805"/>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13D14329-5980-4691-85DF-90C1B28B006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574BD013-8421-411C-B9DF-843EA9CD2E2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CDEAD753-853D-42CC-9658-68F50DAFCB65}"/>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1B9B121F-97C4-4CF9-9178-E85DFFD0CA40}"/>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171450</xdr:colOff>
      <xdr:row>0</xdr:row>
      <xdr:rowOff>0</xdr:rowOff>
    </xdr:from>
    <xdr:ext cx="988941" cy="615204"/>
    <xdr:pic>
      <xdr:nvPicPr>
        <xdr:cNvPr id="2" name="Image 5">
          <a:extLst>
            <a:ext uri="{FF2B5EF4-FFF2-40B4-BE49-F238E27FC236}">
              <a16:creationId xmlns:a16="http://schemas.microsoft.com/office/drawing/2014/main" id="{8F5FBF98-6F67-4CDB-BF43-16DDF9BD2B3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38700" y="0"/>
          <a:ext cx="988941" cy="615204"/>
        </a:xfrm>
        <a:prstGeom prst="rect">
          <a:avLst/>
        </a:prstGeom>
      </xdr:spPr>
    </xdr:pic>
    <xdr:clientData/>
  </xdr:oneCellAnchor>
  <xdr:oneCellAnchor>
    <xdr:from>
      <xdr:col>3</xdr:col>
      <xdr:colOff>1690170</xdr:colOff>
      <xdr:row>0</xdr:row>
      <xdr:rowOff>66675</xdr:rowOff>
    </xdr:from>
    <xdr:ext cx="1081606" cy="581025"/>
    <xdr:pic>
      <xdr:nvPicPr>
        <xdr:cNvPr id="3" name="Image 6">
          <a:extLst>
            <a:ext uri="{FF2B5EF4-FFF2-40B4-BE49-F238E27FC236}">
              <a16:creationId xmlns:a16="http://schemas.microsoft.com/office/drawing/2014/main" id="{269C1C70-DE7C-4C57-B66A-1706317256A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357420" y="66675"/>
          <a:ext cx="1081606" cy="581025"/>
        </a:xfrm>
        <a:prstGeom prst="rect">
          <a:avLst/>
        </a:prstGeom>
      </xdr:spPr>
    </xdr:pic>
    <xdr:clientData/>
  </xdr:oneCellAnchor>
  <xdr:oneCellAnchor>
    <xdr:from>
      <xdr:col>9</xdr:col>
      <xdr:colOff>497491</xdr:colOff>
      <xdr:row>0</xdr:row>
      <xdr:rowOff>90487</xdr:rowOff>
    </xdr:from>
    <xdr:ext cx="1070214" cy="812708"/>
    <xdr:pic>
      <xdr:nvPicPr>
        <xdr:cNvPr id="4" name="Image 7">
          <a:extLst>
            <a:ext uri="{FF2B5EF4-FFF2-40B4-BE49-F238E27FC236}">
              <a16:creationId xmlns:a16="http://schemas.microsoft.com/office/drawing/2014/main" id="{1E2EE53C-B70F-4F6B-AAD9-1E3CAA3C0898}"/>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432566" y="90487"/>
          <a:ext cx="1070214" cy="812708"/>
        </a:xfrm>
        <a:prstGeom prst="rect">
          <a:avLst/>
        </a:prstGeom>
      </xdr:spPr>
    </xdr:pic>
    <xdr:clientData/>
  </xdr:oneCellAnchor>
  <xdr:oneCellAnchor>
    <xdr:from>
      <xdr:col>10</xdr:col>
      <xdr:colOff>251679</xdr:colOff>
      <xdr:row>0</xdr:row>
      <xdr:rowOff>219075</xdr:rowOff>
    </xdr:from>
    <xdr:ext cx="1015146" cy="541805"/>
    <xdr:pic>
      <xdr:nvPicPr>
        <xdr:cNvPr id="5" name="Image 8">
          <a:extLst>
            <a:ext uri="{FF2B5EF4-FFF2-40B4-BE49-F238E27FC236}">
              <a16:creationId xmlns:a16="http://schemas.microsoft.com/office/drawing/2014/main" id="{6A2F6543-CF53-4A7C-8B78-06D47ACC5A80}"/>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653604" y="219075"/>
          <a:ext cx="1015146" cy="541805"/>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34925</xdr:colOff>
      <xdr:row>1</xdr:row>
      <xdr:rowOff>15875</xdr:rowOff>
    </xdr:from>
    <xdr:ext cx="988941" cy="885079"/>
    <xdr:pic>
      <xdr:nvPicPr>
        <xdr:cNvPr id="8" name="Image 5">
          <a:extLst>
            <a:ext uri="{FF2B5EF4-FFF2-40B4-BE49-F238E27FC236}">
              <a16:creationId xmlns:a16="http://schemas.microsoft.com/office/drawing/2014/main" id="{F791B5AC-5FD7-4F20-8E2D-3689CA1E546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4925" y="365125"/>
          <a:ext cx="988941" cy="885079"/>
        </a:xfrm>
        <a:prstGeom prst="rect">
          <a:avLst/>
        </a:prstGeom>
      </xdr:spPr>
    </xdr:pic>
    <xdr:clientData/>
  </xdr:oneCellAnchor>
  <xdr:oneCellAnchor>
    <xdr:from>
      <xdr:col>0</xdr:col>
      <xdr:colOff>1013895</xdr:colOff>
      <xdr:row>0</xdr:row>
      <xdr:rowOff>333375</xdr:rowOff>
    </xdr:from>
    <xdr:ext cx="1081606" cy="1047749"/>
    <xdr:pic>
      <xdr:nvPicPr>
        <xdr:cNvPr id="9" name="Image 6">
          <a:extLst>
            <a:ext uri="{FF2B5EF4-FFF2-40B4-BE49-F238E27FC236}">
              <a16:creationId xmlns:a16="http://schemas.microsoft.com/office/drawing/2014/main" id="{28E9B90B-8517-49BF-B557-4DDEA9A7A3FA}"/>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013895" y="333375"/>
          <a:ext cx="1081606" cy="1047749"/>
        </a:xfrm>
        <a:prstGeom prst="rect">
          <a:avLst/>
        </a:prstGeom>
      </xdr:spPr>
    </xdr:pic>
    <xdr:clientData/>
  </xdr:oneCellAnchor>
  <xdr:oneCellAnchor>
    <xdr:from>
      <xdr:col>11</xdr:col>
      <xdr:colOff>63500</xdr:colOff>
      <xdr:row>1</xdr:row>
      <xdr:rowOff>42861</xdr:rowOff>
    </xdr:from>
    <xdr:ext cx="1447055" cy="1116013"/>
    <xdr:pic>
      <xdr:nvPicPr>
        <xdr:cNvPr id="10" name="Image 7">
          <a:extLst>
            <a:ext uri="{FF2B5EF4-FFF2-40B4-BE49-F238E27FC236}">
              <a16:creationId xmlns:a16="http://schemas.microsoft.com/office/drawing/2014/main" id="{C4B0016A-EBE3-4461-85DC-4A4D721F4D63}"/>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113125" y="392111"/>
          <a:ext cx="1447055" cy="1116013"/>
        </a:xfrm>
        <a:prstGeom prst="rect">
          <a:avLst/>
        </a:prstGeom>
      </xdr:spPr>
    </xdr:pic>
    <xdr:clientData/>
  </xdr:oneCellAnchor>
  <xdr:oneCellAnchor>
    <xdr:from>
      <xdr:col>11</xdr:col>
      <xdr:colOff>1655029</xdr:colOff>
      <xdr:row>1</xdr:row>
      <xdr:rowOff>171450</xdr:rowOff>
    </xdr:from>
    <xdr:ext cx="1599346" cy="939800"/>
    <xdr:pic>
      <xdr:nvPicPr>
        <xdr:cNvPr id="11" name="Image 8">
          <a:extLst>
            <a:ext uri="{FF2B5EF4-FFF2-40B4-BE49-F238E27FC236}">
              <a16:creationId xmlns:a16="http://schemas.microsoft.com/office/drawing/2014/main" id="{F17D3947-00E4-476B-82D4-60A05592567B}"/>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7704654" y="520700"/>
          <a:ext cx="1599346" cy="939800"/>
        </a:xfrm>
        <a:prstGeom prst="rect">
          <a:avLst/>
        </a:prstGeom>
      </xdr:spPr>
    </xdr:pic>
    <xdr:clientData/>
  </xdr:oneCellAnchor>
  <xdr:oneCellAnchor>
    <xdr:from>
      <xdr:col>0</xdr:col>
      <xdr:colOff>190501</xdr:colOff>
      <xdr:row>26</xdr:row>
      <xdr:rowOff>15876</xdr:rowOff>
    </xdr:from>
    <xdr:ext cx="777874" cy="650874"/>
    <xdr:pic>
      <xdr:nvPicPr>
        <xdr:cNvPr id="2" name="Image 5">
          <a:extLst>
            <a:ext uri="{FF2B5EF4-FFF2-40B4-BE49-F238E27FC236}">
              <a16:creationId xmlns:a16="http://schemas.microsoft.com/office/drawing/2014/main" id="{58E44B78-2DFA-4ED9-9E63-852E807A6DE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90501" y="13176251"/>
          <a:ext cx="777874" cy="650874"/>
        </a:xfrm>
        <a:prstGeom prst="rect">
          <a:avLst/>
        </a:prstGeom>
      </xdr:spPr>
    </xdr:pic>
    <xdr:clientData/>
  </xdr:oneCellAnchor>
  <xdr:oneCellAnchor>
    <xdr:from>
      <xdr:col>0</xdr:col>
      <xdr:colOff>1248845</xdr:colOff>
      <xdr:row>26</xdr:row>
      <xdr:rowOff>63500</xdr:rowOff>
    </xdr:from>
    <xdr:ext cx="767280" cy="635000"/>
    <xdr:pic>
      <xdr:nvPicPr>
        <xdr:cNvPr id="3" name="Image 6">
          <a:extLst>
            <a:ext uri="{FF2B5EF4-FFF2-40B4-BE49-F238E27FC236}">
              <a16:creationId xmlns:a16="http://schemas.microsoft.com/office/drawing/2014/main" id="{A28DCDC1-3523-4F4B-9F11-015BA8CB90D4}"/>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248845" y="13223875"/>
          <a:ext cx="767280" cy="635000"/>
        </a:xfrm>
        <a:prstGeom prst="rect">
          <a:avLst/>
        </a:prstGeom>
      </xdr:spPr>
    </xdr:pic>
    <xdr:clientData/>
  </xdr:oneCellAnchor>
  <xdr:oneCellAnchor>
    <xdr:from>
      <xdr:col>11</xdr:col>
      <xdr:colOff>346076</xdr:colOff>
      <xdr:row>26</xdr:row>
      <xdr:rowOff>31750</xdr:rowOff>
    </xdr:from>
    <xdr:ext cx="1003299" cy="644622"/>
    <xdr:pic>
      <xdr:nvPicPr>
        <xdr:cNvPr id="4" name="Image 7">
          <a:extLst>
            <a:ext uri="{FF2B5EF4-FFF2-40B4-BE49-F238E27FC236}">
              <a16:creationId xmlns:a16="http://schemas.microsoft.com/office/drawing/2014/main" id="{ACF0E27E-AFC5-46E0-B106-4CE90C6CC76C}"/>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395701" y="13192125"/>
          <a:ext cx="1003299" cy="644622"/>
        </a:xfrm>
        <a:prstGeom prst="rect">
          <a:avLst/>
        </a:prstGeom>
      </xdr:spPr>
    </xdr:pic>
    <xdr:clientData/>
  </xdr:oneCellAnchor>
  <xdr:oneCellAnchor>
    <xdr:from>
      <xdr:col>11</xdr:col>
      <xdr:colOff>1762979</xdr:colOff>
      <xdr:row>26</xdr:row>
      <xdr:rowOff>76200</xdr:rowOff>
    </xdr:from>
    <xdr:ext cx="1134559" cy="569576"/>
    <xdr:pic>
      <xdr:nvPicPr>
        <xdr:cNvPr id="5" name="Image 8">
          <a:extLst>
            <a:ext uri="{FF2B5EF4-FFF2-40B4-BE49-F238E27FC236}">
              <a16:creationId xmlns:a16="http://schemas.microsoft.com/office/drawing/2014/main" id="{2F1C211B-22DC-42DC-85EE-84100D493FE5}"/>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7812604" y="13236575"/>
          <a:ext cx="1134559" cy="569576"/>
        </a:xfrm>
        <a:prstGeom prst="rect">
          <a:avLst/>
        </a:prstGeom>
      </xdr:spPr>
    </xdr:pic>
    <xdr:clientData/>
  </xdr:oneCellAnchor>
  <xdr:oneCellAnchor>
    <xdr:from>
      <xdr:col>0</xdr:col>
      <xdr:colOff>206375</xdr:colOff>
      <xdr:row>49</xdr:row>
      <xdr:rowOff>127000</xdr:rowOff>
    </xdr:from>
    <xdr:ext cx="777874" cy="650874"/>
    <xdr:pic>
      <xdr:nvPicPr>
        <xdr:cNvPr id="6" name="Image 5">
          <a:extLst>
            <a:ext uri="{FF2B5EF4-FFF2-40B4-BE49-F238E27FC236}">
              <a16:creationId xmlns:a16="http://schemas.microsoft.com/office/drawing/2014/main" id="{E5171E61-E30E-4209-B1FB-BB42121F822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06375" y="26273125"/>
          <a:ext cx="777874" cy="650874"/>
        </a:xfrm>
        <a:prstGeom prst="rect">
          <a:avLst/>
        </a:prstGeom>
      </xdr:spPr>
    </xdr:pic>
    <xdr:clientData/>
  </xdr:oneCellAnchor>
  <xdr:oneCellAnchor>
    <xdr:from>
      <xdr:col>0</xdr:col>
      <xdr:colOff>1264719</xdr:colOff>
      <xdr:row>49</xdr:row>
      <xdr:rowOff>174624</xdr:rowOff>
    </xdr:from>
    <xdr:ext cx="767280" cy="635000"/>
    <xdr:pic>
      <xdr:nvPicPr>
        <xdr:cNvPr id="7" name="Image 6">
          <a:extLst>
            <a:ext uri="{FF2B5EF4-FFF2-40B4-BE49-F238E27FC236}">
              <a16:creationId xmlns:a16="http://schemas.microsoft.com/office/drawing/2014/main" id="{4457C5E6-EB01-4B67-A1AF-42EBECCC2E6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264719" y="26320749"/>
          <a:ext cx="767280" cy="635000"/>
        </a:xfrm>
        <a:prstGeom prst="rect">
          <a:avLst/>
        </a:prstGeom>
      </xdr:spPr>
    </xdr:pic>
    <xdr:clientData/>
  </xdr:oneCellAnchor>
  <xdr:oneCellAnchor>
    <xdr:from>
      <xdr:col>11</xdr:col>
      <xdr:colOff>361950</xdr:colOff>
      <xdr:row>49</xdr:row>
      <xdr:rowOff>127000</xdr:rowOff>
    </xdr:from>
    <xdr:ext cx="1003299" cy="644622"/>
    <xdr:pic>
      <xdr:nvPicPr>
        <xdr:cNvPr id="12" name="Image 7">
          <a:extLst>
            <a:ext uri="{FF2B5EF4-FFF2-40B4-BE49-F238E27FC236}">
              <a16:creationId xmlns:a16="http://schemas.microsoft.com/office/drawing/2014/main" id="{08EED791-8EA3-4389-AF1E-C79512DBE0F9}"/>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411575" y="26273125"/>
          <a:ext cx="1003299" cy="644622"/>
        </a:xfrm>
        <a:prstGeom prst="rect">
          <a:avLst/>
        </a:prstGeom>
      </xdr:spPr>
    </xdr:pic>
    <xdr:clientData/>
  </xdr:oneCellAnchor>
  <xdr:oneCellAnchor>
    <xdr:from>
      <xdr:col>11</xdr:col>
      <xdr:colOff>1778853</xdr:colOff>
      <xdr:row>49</xdr:row>
      <xdr:rowOff>187324</xdr:rowOff>
    </xdr:from>
    <xdr:ext cx="1134559" cy="569576"/>
    <xdr:pic>
      <xdr:nvPicPr>
        <xdr:cNvPr id="13" name="Image 8">
          <a:extLst>
            <a:ext uri="{FF2B5EF4-FFF2-40B4-BE49-F238E27FC236}">
              <a16:creationId xmlns:a16="http://schemas.microsoft.com/office/drawing/2014/main" id="{F5CDD629-979E-4186-8EB0-2F06B9BCD26E}"/>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7828478" y="26333449"/>
          <a:ext cx="1134559" cy="569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40822</xdr:colOff>
      <xdr:row>2</xdr:row>
      <xdr:rowOff>81642</xdr:rowOff>
    </xdr:from>
    <xdr:ext cx="1084192" cy="870857"/>
    <xdr:pic>
      <xdr:nvPicPr>
        <xdr:cNvPr id="8" name="Image 5">
          <a:extLst>
            <a:ext uri="{FF2B5EF4-FFF2-40B4-BE49-F238E27FC236}">
              <a16:creationId xmlns:a16="http://schemas.microsoft.com/office/drawing/2014/main" id="{FF5714BC-9782-4CDE-A785-580454BBE69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2" y="789213"/>
          <a:ext cx="1084192" cy="870857"/>
        </a:xfrm>
        <a:prstGeom prst="rect">
          <a:avLst/>
        </a:prstGeom>
      </xdr:spPr>
    </xdr:pic>
    <xdr:clientData/>
  </xdr:oneCellAnchor>
  <xdr:oneCellAnchor>
    <xdr:from>
      <xdr:col>0</xdr:col>
      <xdr:colOff>1156607</xdr:colOff>
      <xdr:row>2</xdr:row>
      <xdr:rowOff>93890</xdr:rowOff>
    </xdr:from>
    <xdr:ext cx="1198790" cy="763360"/>
    <xdr:pic>
      <xdr:nvPicPr>
        <xdr:cNvPr id="9" name="Image 6">
          <a:extLst>
            <a:ext uri="{FF2B5EF4-FFF2-40B4-BE49-F238E27FC236}">
              <a16:creationId xmlns:a16="http://schemas.microsoft.com/office/drawing/2014/main" id="{7E3FD242-DE89-4EA4-819D-40ACA7ED8C02}"/>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56607" y="801461"/>
          <a:ext cx="1198790" cy="763360"/>
        </a:xfrm>
        <a:prstGeom prst="rect">
          <a:avLst/>
        </a:prstGeom>
      </xdr:spPr>
    </xdr:pic>
    <xdr:clientData/>
  </xdr:oneCellAnchor>
  <xdr:oneCellAnchor>
    <xdr:from>
      <xdr:col>11</xdr:col>
      <xdr:colOff>1020005</xdr:colOff>
      <xdr:row>1</xdr:row>
      <xdr:rowOff>122464</xdr:rowOff>
    </xdr:from>
    <xdr:ext cx="2000780" cy="1216160"/>
    <xdr:pic>
      <xdr:nvPicPr>
        <xdr:cNvPr id="10" name="Image 7">
          <a:extLst>
            <a:ext uri="{FF2B5EF4-FFF2-40B4-BE49-F238E27FC236}">
              <a16:creationId xmlns:a16="http://schemas.microsoft.com/office/drawing/2014/main" id="{F18055C9-5D32-4A17-ACC3-7F8EE844DC94}"/>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457684" y="476250"/>
          <a:ext cx="2000780" cy="1216160"/>
        </a:xfrm>
        <a:prstGeom prst="rect">
          <a:avLst/>
        </a:prstGeom>
      </xdr:spPr>
    </xdr:pic>
    <xdr:clientData/>
  </xdr:oneCellAnchor>
  <xdr:oneCellAnchor>
    <xdr:from>
      <xdr:col>11</xdr:col>
      <xdr:colOff>3658907</xdr:colOff>
      <xdr:row>1</xdr:row>
      <xdr:rowOff>326571</xdr:rowOff>
    </xdr:from>
    <xdr:ext cx="1851986" cy="842523"/>
    <xdr:pic>
      <xdr:nvPicPr>
        <xdr:cNvPr id="11" name="Image 8">
          <a:extLst>
            <a:ext uri="{FF2B5EF4-FFF2-40B4-BE49-F238E27FC236}">
              <a16:creationId xmlns:a16="http://schemas.microsoft.com/office/drawing/2014/main" id="{EEF82839-EF4A-4481-ADDA-C990A9A08567}"/>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2096586" y="680357"/>
          <a:ext cx="1851986" cy="842523"/>
        </a:xfrm>
        <a:prstGeom prst="rect">
          <a:avLst/>
        </a:prstGeom>
      </xdr:spPr>
    </xdr:pic>
    <xdr:clientData/>
  </xdr:oneCellAnchor>
  <xdr:oneCellAnchor>
    <xdr:from>
      <xdr:col>0</xdr:col>
      <xdr:colOff>272142</xdr:colOff>
      <xdr:row>50</xdr:row>
      <xdr:rowOff>108858</xdr:rowOff>
    </xdr:from>
    <xdr:ext cx="777874" cy="650874"/>
    <xdr:pic>
      <xdr:nvPicPr>
        <xdr:cNvPr id="2" name="Image 5">
          <a:extLst>
            <a:ext uri="{FF2B5EF4-FFF2-40B4-BE49-F238E27FC236}">
              <a16:creationId xmlns:a16="http://schemas.microsoft.com/office/drawing/2014/main" id="{C18131F6-FAA4-4DC6-8D0C-7241AAA5397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2142" y="44808322"/>
          <a:ext cx="777874" cy="650874"/>
        </a:xfrm>
        <a:prstGeom prst="rect">
          <a:avLst/>
        </a:prstGeom>
      </xdr:spPr>
    </xdr:pic>
    <xdr:clientData/>
  </xdr:oneCellAnchor>
  <xdr:oneCellAnchor>
    <xdr:from>
      <xdr:col>0</xdr:col>
      <xdr:colOff>1330486</xdr:colOff>
      <xdr:row>50</xdr:row>
      <xdr:rowOff>156482</xdr:rowOff>
    </xdr:from>
    <xdr:ext cx="767280" cy="635000"/>
    <xdr:pic>
      <xdr:nvPicPr>
        <xdr:cNvPr id="3" name="Image 6">
          <a:extLst>
            <a:ext uri="{FF2B5EF4-FFF2-40B4-BE49-F238E27FC236}">
              <a16:creationId xmlns:a16="http://schemas.microsoft.com/office/drawing/2014/main" id="{C3F9A8D1-898B-48C3-96DE-8D533DDBB80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330486" y="44855946"/>
          <a:ext cx="767280" cy="635000"/>
        </a:xfrm>
        <a:prstGeom prst="rect">
          <a:avLst/>
        </a:prstGeom>
      </xdr:spPr>
    </xdr:pic>
    <xdr:clientData/>
  </xdr:oneCellAnchor>
  <xdr:oneCellAnchor>
    <xdr:from>
      <xdr:col>11</xdr:col>
      <xdr:colOff>298450</xdr:colOff>
      <xdr:row>50</xdr:row>
      <xdr:rowOff>136072</xdr:rowOff>
    </xdr:from>
    <xdr:ext cx="1003299" cy="644622"/>
    <xdr:pic>
      <xdr:nvPicPr>
        <xdr:cNvPr id="4" name="Image 7">
          <a:extLst>
            <a:ext uri="{FF2B5EF4-FFF2-40B4-BE49-F238E27FC236}">
              <a16:creationId xmlns:a16="http://schemas.microsoft.com/office/drawing/2014/main" id="{94954012-70B4-4F6B-B626-AB7FAD4016E2}"/>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280414" y="44835536"/>
          <a:ext cx="1003299" cy="644622"/>
        </a:xfrm>
        <a:prstGeom prst="rect">
          <a:avLst/>
        </a:prstGeom>
      </xdr:spPr>
    </xdr:pic>
    <xdr:clientData/>
  </xdr:oneCellAnchor>
  <xdr:oneCellAnchor>
    <xdr:from>
      <xdr:col>11</xdr:col>
      <xdr:colOff>3525103</xdr:colOff>
      <xdr:row>50</xdr:row>
      <xdr:rowOff>196396</xdr:rowOff>
    </xdr:from>
    <xdr:ext cx="1134559" cy="569576"/>
    <xdr:pic>
      <xdr:nvPicPr>
        <xdr:cNvPr id="5" name="Image 8">
          <a:extLst>
            <a:ext uri="{FF2B5EF4-FFF2-40B4-BE49-F238E27FC236}">
              <a16:creationId xmlns:a16="http://schemas.microsoft.com/office/drawing/2014/main" id="{6A29D09C-6ACC-4E2A-B7E6-778BD0CD1F67}"/>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2507067" y="44895860"/>
          <a:ext cx="1134559" cy="569576"/>
        </a:xfrm>
        <a:prstGeom prst="rect">
          <a:avLst/>
        </a:prstGeom>
      </xdr:spPr>
    </xdr:pic>
    <xdr:clientData/>
  </xdr:oneCellAnchor>
  <xdr:oneCellAnchor>
    <xdr:from>
      <xdr:col>0</xdr:col>
      <xdr:colOff>326571</xdr:colOff>
      <xdr:row>110</xdr:row>
      <xdr:rowOff>122464</xdr:rowOff>
    </xdr:from>
    <xdr:ext cx="777874" cy="650874"/>
    <xdr:pic>
      <xdr:nvPicPr>
        <xdr:cNvPr id="6" name="Image 5">
          <a:extLst>
            <a:ext uri="{FF2B5EF4-FFF2-40B4-BE49-F238E27FC236}">
              <a16:creationId xmlns:a16="http://schemas.microsoft.com/office/drawing/2014/main" id="{1CA17DC2-7A80-4CD9-9DE8-47E56C89EDA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26571" y="94188643"/>
          <a:ext cx="777874" cy="650874"/>
        </a:xfrm>
        <a:prstGeom prst="rect">
          <a:avLst/>
        </a:prstGeom>
      </xdr:spPr>
    </xdr:pic>
    <xdr:clientData/>
  </xdr:oneCellAnchor>
  <xdr:oneCellAnchor>
    <xdr:from>
      <xdr:col>0</xdr:col>
      <xdr:colOff>1384915</xdr:colOff>
      <xdr:row>110</xdr:row>
      <xdr:rowOff>170088</xdr:rowOff>
    </xdr:from>
    <xdr:ext cx="767280" cy="635000"/>
    <xdr:pic>
      <xdr:nvPicPr>
        <xdr:cNvPr id="7" name="Image 6">
          <a:extLst>
            <a:ext uri="{FF2B5EF4-FFF2-40B4-BE49-F238E27FC236}">
              <a16:creationId xmlns:a16="http://schemas.microsoft.com/office/drawing/2014/main" id="{F533313E-4229-4DFB-966A-E94EEA0CC03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384915" y="94236267"/>
          <a:ext cx="767280" cy="635000"/>
        </a:xfrm>
        <a:prstGeom prst="rect">
          <a:avLst/>
        </a:prstGeom>
      </xdr:spPr>
    </xdr:pic>
    <xdr:clientData/>
  </xdr:oneCellAnchor>
  <xdr:oneCellAnchor>
    <xdr:from>
      <xdr:col>11</xdr:col>
      <xdr:colOff>312057</xdr:colOff>
      <xdr:row>110</xdr:row>
      <xdr:rowOff>122463</xdr:rowOff>
    </xdr:from>
    <xdr:ext cx="1003299" cy="644622"/>
    <xdr:pic>
      <xdr:nvPicPr>
        <xdr:cNvPr id="12" name="Image 7">
          <a:extLst>
            <a:ext uri="{FF2B5EF4-FFF2-40B4-BE49-F238E27FC236}">
              <a16:creationId xmlns:a16="http://schemas.microsoft.com/office/drawing/2014/main" id="{A58EE2B4-BCA3-4582-8EF3-3F05F75AE6E7}"/>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294021" y="94188642"/>
          <a:ext cx="1003299" cy="644622"/>
        </a:xfrm>
        <a:prstGeom prst="rect">
          <a:avLst/>
        </a:prstGeom>
      </xdr:spPr>
    </xdr:pic>
    <xdr:clientData/>
  </xdr:oneCellAnchor>
  <xdr:oneCellAnchor>
    <xdr:from>
      <xdr:col>11</xdr:col>
      <xdr:colOff>3579532</xdr:colOff>
      <xdr:row>110</xdr:row>
      <xdr:rowOff>210002</xdr:rowOff>
    </xdr:from>
    <xdr:ext cx="1134559" cy="569576"/>
    <xdr:pic>
      <xdr:nvPicPr>
        <xdr:cNvPr id="13" name="Image 8">
          <a:extLst>
            <a:ext uri="{FF2B5EF4-FFF2-40B4-BE49-F238E27FC236}">
              <a16:creationId xmlns:a16="http://schemas.microsoft.com/office/drawing/2014/main" id="{0A85A921-01AF-4D19-9448-69155715D6FD}"/>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2561496" y="94276181"/>
          <a:ext cx="1134559" cy="569576"/>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76200</xdr:colOff>
      <xdr:row>2</xdr:row>
      <xdr:rowOff>0</xdr:rowOff>
    </xdr:from>
    <xdr:ext cx="988941" cy="1008904"/>
    <xdr:pic>
      <xdr:nvPicPr>
        <xdr:cNvPr id="8" name="Image 5">
          <a:extLst>
            <a:ext uri="{FF2B5EF4-FFF2-40B4-BE49-F238E27FC236}">
              <a16:creationId xmlns:a16="http://schemas.microsoft.com/office/drawing/2014/main" id="{4803F464-C96C-4E65-987E-454E690E3AE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6200" y="698500"/>
          <a:ext cx="988941" cy="1008904"/>
        </a:xfrm>
        <a:prstGeom prst="rect">
          <a:avLst/>
        </a:prstGeom>
      </xdr:spPr>
    </xdr:pic>
    <xdr:clientData/>
  </xdr:oneCellAnchor>
  <xdr:oneCellAnchor>
    <xdr:from>
      <xdr:col>0</xdr:col>
      <xdr:colOff>912295</xdr:colOff>
      <xdr:row>2</xdr:row>
      <xdr:rowOff>15875</xdr:rowOff>
    </xdr:from>
    <xdr:ext cx="1081606" cy="1120775"/>
    <xdr:pic>
      <xdr:nvPicPr>
        <xdr:cNvPr id="9" name="Image 6">
          <a:extLst>
            <a:ext uri="{FF2B5EF4-FFF2-40B4-BE49-F238E27FC236}">
              <a16:creationId xmlns:a16="http://schemas.microsoft.com/office/drawing/2014/main" id="{609D4A83-E9AC-47E0-B37D-117EC305FDD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912295" y="714375"/>
          <a:ext cx="1081606" cy="1120775"/>
        </a:xfrm>
        <a:prstGeom prst="rect">
          <a:avLst/>
        </a:prstGeom>
      </xdr:spPr>
    </xdr:pic>
    <xdr:clientData/>
  </xdr:oneCellAnchor>
  <xdr:oneCellAnchor>
    <xdr:from>
      <xdr:col>11</xdr:col>
      <xdr:colOff>291116</xdr:colOff>
      <xdr:row>2</xdr:row>
      <xdr:rowOff>126999</xdr:rowOff>
    </xdr:from>
    <xdr:ext cx="1776480" cy="1106395"/>
    <xdr:pic>
      <xdr:nvPicPr>
        <xdr:cNvPr id="10" name="Image 7">
          <a:extLst>
            <a:ext uri="{FF2B5EF4-FFF2-40B4-BE49-F238E27FC236}">
              <a16:creationId xmlns:a16="http://schemas.microsoft.com/office/drawing/2014/main" id="{DE5E33DE-585A-4127-B6B0-5B2199FA51ED}"/>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8626741" y="825499"/>
          <a:ext cx="1776480" cy="1106395"/>
        </a:xfrm>
        <a:prstGeom prst="rect">
          <a:avLst/>
        </a:prstGeom>
      </xdr:spPr>
    </xdr:pic>
    <xdr:clientData/>
  </xdr:oneCellAnchor>
  <xdr:oneCellAnchor>
    <xdr:from>
      <xdr:col>11</xdr:col>
      <xdr:colOff>2505928</xdr:colOff>
      <xdr:row>2</xdr:row>
      <xdr:rowOff>222251</xdr:rowOff>
    </xdr:from>
    <xdr:ext cx="1685071" cy="995830"/>
    <xdr:pic>
      <xdr:nvPicPr>
        <xdr:cNvPr id="11" name="Image 8">
          <a:extLst>
            <a:ext uri="{FF2B5EF4-FFF2-40B4-BE49-F238E27FC236}">
              <a16:creationId xmlns:a16="http://schemas.microsoft.com/office/drawing/2014/main" id="{020E0FCF-3FBD-45B3-B44B-C9408F1627B1}"/>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0841553" y="920751"/>
          <a:ext cx="1685071" cy="995830"/>
        </a:xfrm>
        <a:prstGeom prst="rect">
          <a:avLst/>
        </a:prstGeom>
      </xdr:spPr>
    </xdr:pic>
    <xdr:clientData/>
  </xdr:oneCellAnchor>
  <xdr:oneCellAnchor>
    <xdr:from>
      <xdr:col>0</xdr:col>
      <xdr:colOff>47625</xdr:colOff>
      <xdr:row>17</xdr:row>
      <xdr:rowOff>142875</xdr:rowOff>
    </xdr:from>
    <xdr:ext cx="777874" cy="650874"/>
    <xdr:pic>
      <xdr:nvPicPr>
        <xdr:cNvPr id="2" name="Image 5">
          <a:extLst>
            <a:ext uri="{FF2B5EF4-FFF2-40B4-BE49-F238E27FC236}">
              <a16:creationId xmlns:a16="http://schemas.microsoft.com/office/drawing/2014/main" id="{8ECFE3AE-C6E1-4FBB-BDB5-D3BFB138C38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625" y="9350375"/>
          <a:ext cx="777874" cy="650874"/>
        </a:xfrm>
        <a:prstGeom prst="rect">
          <a:avLst/>
        </a:prstGeom>
      </xdr:spPr>
    </xdr:pic>
    <xdr:clientData/>
  </xdr:oneCellAnchor>
  <xdr:oneCellAnchor>
    <xdr:from>
      <xdr:col>0</xdr:col>
      <xdr:colOff>1105969</xdr:colOff>
      <xdr:row>17</xdr:row>
      <xdr:rowOff>190500</xdr:rowOff>
    </xdr:from>
    <xdr:ext cx="767280" cy="635000"/>
    <xdr:pic>
      <xdr:nvPicPr>
        <xdr:cNvPr id="3" name="Image 6">
          <a:extLst>
            <a:ext uri="{FF2B5EF4-FFF2-40B4-BE49-F238E27FC236}">
              <a16:creationId xmlns:a16="http://schemas.microsoft.com/office/drawing/2014/main" id="{5126C8FE-B666-4C70-B2C8-7454EAD6223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05969" y="9398000"/>
          <a:ext cx="767280" cy="635000"/>
        </a:xfrm>
        <a:prstGeom prst="rect">
          <a:avLst/>
        </a:prstGeom>
      </xdr:spPr>
    </xdr:pic>
    <xdr:clientData/>
  </xdr:oneCellAnchor>
  <xdr:oneCellAnchor>
    <xdr:from>
      <xdr:col>11</xdr:col>
      <xdr:colOff>679450</xdr:colOff>
      <xdr:row>17</xdr:row>
      <xdr:rowOff>142875</xdr:rowOff>
    </xdr:from>
    <xdr:ext cx="1003299" cy="644622"/>
    <xdr:pic>
      <xdr:nvPicPr>
        <xdr:cNvPr id="4" name="Image 7">
          <a:extLst>
            <a:ext uri="{FF2B5EF4-FFF2-40B4-BE49-F238E27FC236}">
              <a16:creationId xmlns:a16="http://schemas.microsoft.com/office/drawing/2014/main" id="{0076E026-D112-49A8-BA64-DEF1EBCB42E7}"/>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015075" y="9350375"/>
          <a:ext cx="1003299" cy="644622"/>
        </a:xfrm>
        <a:prstGeom prst="rect">
          <a:avLst/>
        </a:prstGeom>
      </xdr:spPr>
    </xdr:pic>
    <xdr:clientData/>
  </xdr:oneCellAnchor>
  <xdr:oneCellAnchor>
    <xdr:from>
      <xdr:col>11</xdr:col>
      <xdr:colOff>3137300</xdr:colOff>
      <xdr:row>17</xdr:row>
      <xdr:rowOff>214539</xdr:rowOff>
    </xdr:from>
    <xdr:ext cx="1134559" cy="569576"/>
    <xdr:pic>
      <xdr:nvPicPr>
        <xdr:cNvPr id="5" name="Image 8">
          <a:extLst>
            <a:ext uri="{FF2B5EF4-FFF2-40B4-BE49-F238E27FC236}">
              <a16:creationId xmlns:a16="http://schemas.microsoft.com/office/drawing/2014/main" id="{142A3CC5-B09E-45C7-BC3A-3224255972D5}"/>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1472925" y="9422039"/>
          <a:ext cx="1134559" cy="569576"/>
        </a:xfrm>
        <a:prstGeom prst="rect">
          <a:avLst/>
        </a:prstGeom>
      </xdr:spPr>
    </xdr:pic>
    <xdr:clientData/>
  </xdr:oneCellAnchor>
  <xdr:oneCellAnchor>
    <xdr:from>
      <xdr:col>0</xdr:col>
      <xdr:colOff>47625</xdr:colOff>
      <xdr:row>30</xdr:row>
      <xdr:rowOff>63500</xdr:rowOff>
    </xdr:from>
    <xdr:ext cx="777874" cy="650874"/>
    <xdr:pic>
      <xdr:nvPicPr>
        <xdr:cNvPr id="6" name="Image 5">
          <a:extLst>
            <a:ext uri="{FF2B5EF4-FFF2-40B4-BE49-F238E27FC236}">
              <a16:creationId xmlns:a16="http://schemas.microsoft.com/office/drawing/2014/main" id="{E5DB8108-47C0-4CA0-9BCA-7F7475C99E6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625" y="18875375"/>
          <a:ext cx="777874" cy="650874"/>
        </a:xfrm>
        <a:prstGeom prst="rect">
          <a:avLst/>
        </a:prstGeom>
      </xdr:spPr>
    </xdr:pic>
    <xdr:clientData/>
  </xdr:oneCellAnchor>
  <xdr:oneCellAnchor>
    <xdr:from>
      <xdr:col>0</xdr:col>
      <xdr:colOff>1105969</xdr:colOff>
      <xdr:row>30</xdr:row>
      <xdr:rowOff>111125</xdr:rowOff>
    </xdr:from>
    <xdr:ext cx="767280" cy="635000"/>
    <xdr:pic>
      <xdr:nvPicPr>
        <xdr:cNvPr id="7" name="Image 6">
          <a:extLst>
            <a:ext uri="{FF2B5EF4-FFF2-40B4-BE49-F238E27FC236}">
              <a16:creationId xmlns:a16="http://schemas.microsoft.com/office/drawing/2014/main" id="{C2C3AFD1-7907-47FA-925E-DE732C657214}"/>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05969" y="18923000"/>
          <a:ext cx="767280" cy="635000"/>
        </a:xfrm>
        <a:prstGeom prst="rect">
          <a:avLst/>
        </a:prstGeom>
      </xdr:spPr>
    </xdr:pic>
    <xdr:clientData/>
  </xdr:oneCellAnchor>
  <xdr:oneCellAnchor>
    <xdr:from>
      <xdr:col>11</xdr:col>
      <xdr:colOff>679450</xdr:colOff>
      <xdr:row>30</xdr:row>
      <xdr:rowOff>63500</xdr:rowOff>
    </xdr:from>
    <xdr:ext cx="1003299" cy="644622"/>
    <xdr:pic>
      <xdr:nvPicPr>
        <xdr:cNvPr id="12" name="Image 7">
          <a:extLst>
            <a:ext uri="{FF2B5EF4-FFF2-40B4-BE49-F238E27FC236}">
              <a16:creationId xmlns:a16="http://schemas.microsoft.com/office/drawing/2014/main" id="{5A93B048-BECA-4186-9406-F95362403974}"/>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015075" y="18875375"/>
          <a:ext cx="1003299" cy="644622"/>
        </a:xfrm>
        <a:prstGeom prst="rect">
          <a:avLst/>
        </a:prstGeom>
      </xdr:spPr>
    </xdr:pic>
    <xdr:clientData/>
  </xdr:oneCellAnchor>
  <xdr:oneCellAnchor>
    <xdr:from>
      <xdr:col>11</xdr:col>
      <xdr:colOff>3137300</xdr:colOff>
      <xdr:row>30</xdr:row>
      <xdr:rowOff>135164</xdr:rowOff>
    </xdr:from>
    <xdr:ext cx="1134559" cy="569576"/>
    <xdr:pic>
      <xdr:nvPicPr>
        <xdr:cNvPr id="13" name="Image 8">
          <a:extLst>
            <a:ext uri="{FF2B5EF4-FFF2-40B4-BE49-F238E27FC236}">
              <a16:creationId xmlns:a16="http://schemas.microsoft.com/office/drawing/2014/main" id="{6E623757-5A54-4D77-9E29-9BC4F6F39B96}"/>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1472925" y="18947039"/>
          <a:ext cx="1134559" cy="569576"/>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22225</xdr:colOff>
      <xdr:row>1</xdr:row>
      <xdr:rowOff>301625</xdr:rowOff>
    </xdr:from>
    <xdr:ext cx="988941" cy="900954"/>
    <xdr:pic>
      <xdr:nvPicPr>
        <xdr:cNvPr id="8" name="Image 5">
          <a:extLst>
            <a:ext uri="{FF2B5EF4-FFF2-40B4-BE49-F238E27FC236}">
              <a16:creationId xmlns:a16="http://schemas.microsoft.com/office/drawing/2014/main" id="{5B0E3668-47CB-4CB7-9C5E-0B70B2733D2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225" y="650875"/>
          <a:ext cx="988941" cy="900954"/>
        </a:xfrm>
        <a:prstGeom prst="rect">
          <a:avLst/>
        </a:prstGeom>
      </xdr:spPr>
    </xdr:pic>
    <xdr:clientData/>
  </xdr:oneCellAnchor>
  <xdr:oneCellAnchor>
    <xdr:from>
      <xdr:col>0</xdr:col>
      <xdr:colOff>985320</xdr:colOff>
      <xdr:row>1</xdr:row>
      <xdr:rowOff>254000</xdr:rowOff>
    </xdr:from>
    <xdr:ext cx="872055" cy="981075"/>
    <xdr:pic>
      <xdr:nvPicPr>
        <xdr:cNvPr id="9" name="Image 6">
          <a:extLst>
            <a:ext uri="{FF2B5EF4-FFF2-40B4-BE49-F238E27FC236}">
              <a16:creationId xmlns:a16="http://schemas.microsoft.com/office/drawing/2014/main" id="{89F09D19-2F40-4574-B50F-551BD2E636E5}"/>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985320" y="603250"/>
          <a:ext cx="872055" cy="981075"/>
        </a:xfrm>
        <a:prstGeom prst="rect">
          <a:avLst/>
        </a:prstGeom>
      </xdr:spPr>
    </xdr:pic>
    <xdr:clientData/>
  </xdr:oneCellAnchor>
  <xdr:oneCellAnchor>
    <xdr:from>
      <xdr:col>10</xdr:col>
      <xdr:colOff>475266</xdr:colOff>
      <xdr:row>2</xdr:row>
      <xdr:rowOff>47625</xdr:rowOff>
    </xdr:from>
    <xdr:ext cx="1070214" cy="887320"/>
    <xdr:pic>
      <xdr:nvPicPr>
        <xdr:cNvPr id="10" name="Image 7">
          <a:extLst>
            <a:ext uri="{FF2B5EF4-FFF2-40B4-BE49-F238E27FC236}">
              <a16:creationId xmlns:a16="http://schemas.microsoft.com/office/drawing/2014/main" id="{333CA330-2D9C-42BE-AFD9-591DC08050DE}"/>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5159641" y="746125"/>
          <a:ext cx="1070214" cy="887320"/>
        </a:xfrm>
        <a:prstGeom prst="rect">
          <a:avLst/>
        </a:prstGeom>
      </xdr:spPr>
    </xdr:pic>
    <xdr:clientData/>
  </xdr:oneCellAnchor>
  <xdr:oneCellAnchor>
    <xdr:from>
      <xdr:col>10</xdr:col>
      <xdr:colOff>1912204</xdr:colOff>
      <xdr:row>2</xdr:row>
      <xdr:rowOff>174625</xdr:rowOff>
    </xdr:from>
    <xdr:ext cx="1015146" cy="681505"/>
    <xdr:pic>
      <xdr:nvPicPr>
        <xdr:cNvPr id="11" name="Image 8">
          <a:extLst>
            <a:ext uri="{FF2B5EF4-FFF2-40B4-BE49-F238E27FC236}">
              <a16:creationId xmlns:a16="http://schemas.microsoft.com/office/drawing/2014/main" id="{82420477-A8BE-4CEA-8B76-FF75F3822B24}"/>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6596579" y="873125"/>
          <a:ext cx="1015146" cy="681505"/>
        </a:xfrm>
        <a:prstGeom prst="rect">
          <a:avLst/>
        </a:prstGeom>
      </xdr:spPr>
    </xdr:pic>
    <xdr:clientData/>
  </xdr:oneCellAnchor>
  <xdr:oneCellAnchor>
    <xdr:from>
      <xdr:col>0</xdr:col>
      <xdr:colOff>0</xdr:colOff>
      <xdr:row>18</xdr:row>
      <xdr:rowOff>0</xdr:rowOff>
    </xdr:from>
    <xdr:ext cx="777874" cy="650874"/>
    <xdr:pic>
      <xdr:nvPicPr>
        <xdr:cNvPr id="2" name="Image 5">
          <a:extLst>
            <a:ext uri="{FF2B5EF4-FFF2-40B4-BE49-F238E27FC236}">
              <a16:creationId xmlns:a16="http://schemas.microsoft.com/office/drawing/2014/main" id="{6D649291-7182-4346-BE8E-1A6E2FFFA34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8874125"/>
          <a:ext cx="777874" cy="650874"/>
        </a:xfrm>
        <a:prstGeom prst="rect">
          <a:avLst/>
        </a:prstGeom>
      </xdr:spPr>
    </xdr:pic>
    <xdr:clientData/>
  </xdr:oneCellAnchor>
  <xdr:oneCellAnchor>
    <xdr:from>
      <xdr:col>0</xdr:col>
      <xdr:colOff>1058344</xdr:colOff>
      <xdr:row>18</xdr:row>
      <xdr:rowOff>47625</xdr:rowOff>
    </xdr:from>
    <xdr:ext cx="767280" cy="635000"/>
    <xdr:pic>
      <xdr:nvPicPr>
        <xdr:cNvPr id="3" name="Image 6">
          <a:extLst>
            <a:ext uri="{FF2B5EF4-FFF2-40B4-BE49-F238E27FC236}">
              <a16:creationId xmlns:a16="http://schemas.microsoft.com/office/drawing/2014/main" id="{F1E14FE4-3A4F-4ECA-A4AA-EB4C4BEEFCA6}"/>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058344" y="8921750"/>
          <a:ext cx="767280" cy="635000"/>
        </a:xfrm>
        <a:prstGeom prst="rect">
          <a:avLst/>
        </a:prstGeom>
      </xdr:spPr>
    </xdr:pic>
    <xdr:clientData/>
  </xdr:oneCellAnchor>
  <xdr:oneCellAnchor>
    <xdr:from>
      <xdr:col>10</xdr:col>
      <xdr:colOff>76200</xdr:colOff>
      <xdr:row>18</xdr:row>
      <xdr:rowOff>15875</xdr:rowOff>
    </xdr:from>
    <xdr:ext cx="1003299" cy="644622"/>
    <xdr:pic>
      <xdr:nvPicPr>
        <xdr:cNvPr id="4" name="Image 7">
          <a:extLst>
            <a:ext uri="{FF2B5EF4-FFF2-40B4-BE49-F238E27FC236}">
              <a16:creationId xmlns:a16="http://schemas.microsoft.com/office/drawing/2014/main" id="{89570707-41E4-4204-B08B-207ADE0348F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760575" y="8890000"/>
          <a:ext cx="1003299" cy="644622"/>
        </a:xfrm>
        <a:prstGeom prst="rect">
          <a:avLst/>
        </a:prstGeom>
      </xdr:spPr>
    </xdr:pic>
    <xdr:clientData/>
  </xdr:oneCellAnchor>
  <xdr:oneCellAnchor>
    <xdr:from>
      <xdr:col>10</xdr:col>
      <xdr:colOff>1613300</xdr:colOff>
      <xdr:row>18</xdr:row>
      <xdr:rowOff>182789</xdr:rowOff>
    </xdr:from>
    <xdr:ext cx="1134559" cy="569576"/>
    <xdr:pic>
      <xdr:nvPicPr>
        <xdr:cNvPr id="5" name="Image 8">
          <a:extLst>
            <a:ext uri="{FF2B5EF4-FFF2-40B4-BE49-F238E27FC236}">
              <a16:creationId xmlns:a16="http://schemas.microsoft.com/office/drawing/2014/main" id="{DCA93BB2-A044-4EB9-87AD-B08F12FD8E0A}"/>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6297675" y="9056914"/>
          <a:ext cx="1134559" cy="569576"/>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2</xdr:col>
      <xdr:colOff>276226</xdr:colOff>
      <xdr:row>0</xdr:row>
      <xdr:rowOff>134470</xdr:rowOff>
    </xdr:from>
    <xdr:ext cx="978834" cy="480733"/>
    <xdr:pic>
      <xdr:nvPicPr>
        <xdr:cNvPr id="8" name="Image 5">
          <a:extLst>
            <a:ext uri="{FF2B5EF4-FFF2-40B4-BE49-F238E27FC236}">
              <a16:creationId xmlns:a16="http://schemas.microsoft.com/office/drawing/2014/main" id="{E762E058-1651-43D3-8DDB-0CA07FFC25E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14108" y="134470"/>
          <a:ext cx="978834" cy="480733"/>
        </a:xfrm>
        <a:prstGeom prst="rect">
          <a:avLst/>
        </a:prstGeom>
      </xdr:spPr>
    </xdr:pic>
    <xdr:clientData/>
  </xdr:oneCellAnchor>
  <xdr:oneCellAnchor>
    <xdr:from>
      <xdr:col>2</xdr:col>
      <xdr:colOff>1794945</xdr:colOff>
      <xdr:row>0</xdr:row>
      <xdr:rowOff>66675</xdr:rowOff>
    </xdr:from>
    <xdr:ext cx="1081606" cy="581025"/>
    <xdr:pic>
      <xdr:nvPicPr>
        <xdr:cNvPr id="9" name="Image 6">
          <a:extLst>
            <a:ext uri="{FF2B5EF4-FFF2-40B4-BE49-F238E27FC236}">
              <a16:creationId xmlns:a16="http://schemas.microsoft.com/office/drawing/2014/main" id="{38837D1C-8025-4AD7-A37F-27B7BD4D6FF4}"/>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328345" y="66675"/>
          <a:ext cx="1081606" cy="581025"/>
        </a:xfrm>
        <a:prstGeom prst="rect">
          <a:avLst/>
        </a:prstGeom>
      </xdr:spPr>
    </xdr:pic>
    <xdr:clientData/>
  </xdr:oneCellAnchor>
  <xdr:oneCellAnchor>
    <xdr:from>
      <xdr:col>8</xdr:col>
      <xdr:colOff>592741</xdr:colOff>
      <xdr:row>0</xdr:row>
      <xdr:rowOff>42862</xdr:rowOff>
    </xdr:from>
    <xdr:ext cx="1070214" cy="812708"/>
    <xdr:pic>
      <xdr:nvPicPr>
        <xdr:cNvPr id="10" name="Image 7">
          <a:extLst>
            <a:ext uri="{FF2B5EF4-FFF2-40B4-BE49-F238E27FC236}">
              <a16:creationId xmlns:a16="http://schemas.microsoft.com/office/drawing/2014/main" id="{6470095E-9278-4ACB-BF39-DF9BDAE8F8E4}"/>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1003566" y="42862"/>
          <a:ext cx="1070214" cy="812708"/>
        </a:xfrm>
        <a:prstGeom prst="rect">
          <a:avLst/>
        </a:prstGeom>
      </xdr:spPr>
    </xdr:pic>
    <xdr:clientData/>
  </xdr:oneCellAnchor>
  <xdr:oneCellAnchor>
    <xdr:from>
      <xdr:col>9</xdr:col>
      <xdr:colOff>404079</xdr:colOff>
      <xdr:row>0</xdr:row>
      <xdr:rowOff>161925</xdr:rowOff>
    </xdr:from>
    <xdr:ext cx="1015146" cy="541805"/>
    <xdr:pic>
      <xdr:nvPicPr>
        <xdr:cNvPr id="11" name="Image 8">
          <a:extLst>
            <a:ext uri="{FF2B5EF4-FFF2-40B4-BE49-F238E27FC236}">
              <a16:creationId xmlns:a16="http://schemas.microsoft.com/office/drawing/2014/main" id="{4213EDD7-11BF-4739-8AFB-BB0F85D15CE9}"/>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2281754" y="161925"/>
          <a:ext cx="1015146" cy="54180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0.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26"/>
  <sheetViews>
    <sheetView showGridLines="0" view="pageBreakPreview" zoomScale="85" zoomScaleNormal="100" zoomScaleSheetLayoutView="85" workbookViewId="0">
      <selection activeCell="C14" sqref="C14"/>
    </sheetView>
  </sheetViews>
  <sheetFormatPr defaultRowHeight="15"/>
  <cols>
    <col min="1" max="1" width="8" customWidth="1"/>
    <col min="2" max="2" width="49.5703125" customWidth="1"/>
    <col min="3" max="3" width="28.42578125" style="55" bestFit="1" customWidth="1"/>
    <col min="4" max="4" width="22" customWidth="1"/>
    <col min="5" max="5" width="81.140625" bestFit="1" customWidth="1"/>
    <col min="6" max="6" width="15" customWidth="1"/>
    <col min="7" max="7" width="11.85546875" customWidth="1"/>
    <col min="8" max="8" width="5.5703125" customWidth="1"/>
    <col min="9" max="9" width="12.7109375" bestFit="1" customWidth="1"/>
  </cols>
  <sheetData>
    <row r="1" spans="1:9" ht="27.95" customHeight="1">
      <c r="A1" s="309"/>
      <c r="B1" s="315"/>
      <c r="C1" s="326" t="s">
        <v>0</v>
      </c>
      <c r="D1" s="315"/>
      <c r="E1" s="315"/>
      <c r="F1" s="315"/>
      <c r="G1" s="330"/>
    </row>
    <row r="2" spans="1:9" ht="27.95" customHeight="1">
      <c r="A2" s="310"/>
      <c r="B2" s="316"/>
      <c r="C2" s="327" t="s">
        <v>353</v>
      </c>
      <c r="D2" s="328"/>
      <c r="E2" s="329"/>
      <c r="F2" s="316"/>
      <c r="G2" s="331"/>
    </row>
    <row r="3" spans="1:9" ht="21.95" customHeight="1" thickBot="1">
      <c r="A3" s="41"/>
      <c r="B3" s="1"/>
      <c r="C3" s="162"/>
      <c r="D3" s="160"/>
      <c r="E3" s="1"/>
      <c r="F3" s="1"/>
      <c r="G3" s="243"/>
    </row>
    <row r="4" spans="1:9" ht="20.100000000000001" customHeight="1">
      <c r="A4" s="319" t="s">
        <v>1</v>
      </c>
      <c r="B4" s="320"/>
      <c r="C4" s="320"/>
      <c r="D4" s="320"/>
      <c r="E4" s="320"/>
      <c r="F4" s="320"/>
      <c r="G4" s="321"/>
    </row>
    <row r="5" spans="1:9" ht="12" customHeight="1">
      <c r="A5" s="322"/>
      <c r="B5" s="323"/>
      <c r="C5" s="323"/>
      <c r="D5" s="323"/>
      <c r="E5" s="323"/>
      <c r="F5" s="323"/>
      <c r="G5" s="324"/>
    </row>
    <row r="6" spans="1:9" ht="27.95" customHeight="1">
      <c r="A6" s="43" t="s">
        <v>2</v>
      </c>
      <c r="B6" s="149" t="s">
        <v>3</v>
      </c>
      <c r="C6" s="149" t="s">
        <v>4</v>
      </c>
      <c r="D6" s="149" t="s">
        <v>5</v>
      </c>
      <c r="E6" s="311" t="s">
        <v>6</v>
      </c>
      <c r="F6" s="312"/>
      <c r="G6" s="313"/>
    </row>
    <row r="7" spans="1:9" ht="39.950000000000003" customHeight="1">
      <c r="A7" s="45">
        <v>1</v>
      </c>
      <c r="B7" s="10" t="s">
        <v>7</v>
      </c>
      <c r="C7" s="12">
        <f>0</f>
        <v>0</v>
      </c>
      <c r="D7" s="13">
        <f>'Piping &amp; Valves'!K29+'Piping &amp; Valves'!K71</f>
        <v>1542923.88</v>
      </c>
      <c r="E7" s="332" t="s">
        <v>8</v>
      </c>
      <c r="F7" s="312"/>
      <c r="G7" s="313"/>
    </row>
    <row r="8" spans="1:9" ht="39.950000000000003" customHeight="1">
      <c r="A8" s="47">
        <v>2</v>
      </c>
      <c r="B8" s="15" t="s">
        <v>9</v>
      </c>
      <c r="C8" s="17">
        <f>Mechanical!J17+Mechanical!J42+Mechanical!J62</f>
        <v>126780000000</v>
      </c>
      <c r="D8" s="18">
        <f>Mechanical!K17+Mechanical!K42+Mechanical!K62</f>
        <v>2337532.6</v>
      </c>
      <c r="E8" s="314" t="s">
        <v>10</v>
      </c>
      <c r="F8" s="312"/>
      <c r="G8" s="313"/>
    </row>
    <row r="9" spans="1:9" ht="39.950000000000003" customHeight="1">
      <c r="A9" s="45">
        <v>3</v>
      </c>
      <c r="B9" s="10" t="s">
        <v>11</v>
      </c>
      <c r="C9" s="12">
        <f>Electrical!J23+Electrical!J46+Electrical!J56</f>
        <v>812237187000</v>
      </c>
      <c r="D9" s="23">
        <f>Electrical!K23+Electrical!K46+Electrical!K56</f>
        <v>1901290</v>
      </c>
      <c r="E9" s="332" t="s">
        <v>12</v>
      </c>
      <c r="F9" s="312"/>
      <c r="G9" s="313"/>
    </row>
    <row r="10" spans="1:9" ht="39.950000000000003" customHeight="1">
      <c r="A10" s="47">
        <v>4</v>
      </c>
      <c r="B10" s="15" t="s">
        <v>13</v>
      </c>
      <c r="C10" s="17">
        <f>Instrumentation!J47+Instrumentation!J107+Instrumentation!J117</f>
        <v>26740000000</v>
      </c>
      <c r="D10" s="18">
        <f>Instrumentation!K47+Instrumentation!K107+Instrumentation!K117</f>
        <v>4776150</v>
      </c>
      <c r="E10" s="314" t="s">
        <v>14</v>
      </c>
      <c r="F10" s="312"/>
      <c r="G10" s="313"/>
    </row>
    <row r="11" spans="1:9" ht="39.950000000000003" customHeight="1">
      <c r="A11" s="45">
        <v>5</v>
      </c>
      <c r="B11" s="10" t="s">
        <v>15</v>
      </c>
      <c r="C11" s="12">
        <f>'Cathodic Protection'!J14+'Cathodic Protection'!J27+'Cathodic Protection'!J40</f>
        <v>29742500000</v>
      </c>
      <c r="D11" s="13">
        <f>'Cathodic Protection'!K14+'Cathodic Protection'!K27+'Cathodic Protection'!K40</f>
        <v>0</v>
      </c>
      <c r="E11" s="332" t="s">
        <v>16</v>
      </c>
      <c r="F11" s="312"/>
      <c r="G11" s="313"/>
    </row>
    <row r="12" spans="1:9" ht="39.950000000000003" customHeight="1">
      <c r="A12" s="47">
        <v>6</v>
      </c>
      <c r="B12" s="15" t="s">
        <v>17</v>
      </c>
      <c r="C12" s="17">
        <f>0</f>
        <v>0</v>
      </c>
      <c r="D12" s="18">
        <f>'Safety &amp; Fire Fighting'!J15+'Safety &amp; Fire Fighting'!J31</f>
        <v>143650</v>
      </c>
      <c r="E12" s="314" t="s">
        <v>18</v>
      </c>
      <c r="F12" s="312"/>
      <c r="G12" s="313"/>
    </row>
    <row r="13" spans="1:9" ht="39.950000000000003" customHeight="1">
      <c r="A13" s="133">
        <v>7</v>
      </c>
      <c r="B13" s="128" t="s">
        <v>19</v>
      </c>
      <c r="C13" s="129">
        <f>'Spare Parts'!I11</f>
        <v>313000</v>
      </c>
      <c r="D13" s="129">
        <f>'Spare Parts'!J11</f>
        <v>313000</v>
      </c>
      <c r="E13" s="339" t="s">
        <v>20</v>
      </c>
      <c r="F13" s="340"/>
      <c r="G13" s="341"/>
    </row>
    <row r="14" spans="1:9" ht="24.75" customHeight="1">
      <c r="A14" s="133">
        <v>8</v>
      </c>
      <c r="B14" s="130" t="s">
        <v>352</v>
      </c>
      <c r="C14" s="131">
        <v>4500000000</v>
      </c>
      <c r="D14" s="131">
        <v>0</v>
      </c>
      <c r="E14" s="291"/>
      <c r="F14" s="292"/>
      <c r="G14" s="293"/>
    </row>
    <row r="15" spans="1:9" ht="26.1" customHeight="1">
      <c r="A15" s="325" t="s">
        <v>21</v>
      </c>
      <c r="B15" s="323"/>
      <c r="C15" s="132">
        <f>SUM(C7:C14)</f>
        <v>1000000000000</v>
      </c>
      <c r="D15" s="155">
        <f>SUM(D7:D14)</f>
        <v>11014546.48</v>
      </c>
      <c r="E15" s="333"/>
      <c r="F15" s="334"/>
      <c r="G15" s="335"/>
      <c r="I15" s="6"/>
    </row>
    <row r="16" spans="1:9" ht="26.1" customHeight="1">
      <c r="A16" s="336" t="s">
        <v>674</v>
      </c>
      <c r="B16" s="337"/>
      <c r="C16" s="337"/>
      <c r="D16" s="337"/>
      <c r="E16" s="337"/>
      <c r="F16" s="337"/>
      <c r="G16" s="338"/>
    </row>
    <row r="17" spans="1:7" ht="27.95" customHeight="1">
      <c r="A17" s="43" t="s">
        <v>2</v>
      </c>
      <c r="B17" s="149" t="s">
        <v>22</v>
      </c>
      <c r="C17" s="149" t="s">
        <v>23</v>
      </c>
      <c r="D17" s="149" t="s">
        <v>24</v>
      </c>
      <c r="E17" s="300" t="s">
        <v>25</v>
      </c>
      <c r="F17" s="301"/>
      <c r="G17" s="302"/>
    </row>
    <row r="18" spans="1:7" ht="60" customHeight="1">
      <c r="A18" s="45">
        <v>1</v>
      </c>
      <c r="B18" s="10" t="s">
        <v>26</v>
      </c>
      <c r="C18" s="12">
        <v>492010187000</v>
      </c>
      <c r="D18" s="13">
        <v>4355480</v>
      </c>
      <c r="E18" s="297" t="s">
        <v>350</v>
      </c>
      <c r="F18" s="298"/>
      <c r="G18" s="299"/>
    </row>
    <row r="19" spans="1:7" ht="50.1" customHeight="1">
      <c r="A19" s="47">
        <v>2</v>
      </c>
      <c r="B19" s="15" t="s">
        <v>27</v>
      </c>
      <c r="C19" s="17">
        <v>277249500000</v>
      </c>
      <c r="D19" s="18">
        <v>5782446</v>
      </c>
      <c r="E19" s="303" t="s">
        <v>28</v>
      </c>
      <c r="F19" s="304"/>
      <c r="G19" s="305"/>
    </row>
    <row r="20" spans="1:7" ht="50.1" customHeight="1">
      <c r="A20" s="45">
        <v>3</v>
      </c>
      <c r="B20" s="10" t="s">
        <v>29</v>
      </c>
      <c r="C20" s="12">
        <v>226240000000</v>
      </c>
      <c r="D20" s="13">
        <v>563620</v>
      </c>
      <c r="E20" s="297" t="s">
        <v>28</v>
      </c>
      <c r="F20" s="298"/>
      <c r="G20" s="299"/>
    </row>
    <row r="21" spans="1:7" ht="43.5" customHeight="1">
      <c r="A21" s="134">
        <v>4</v>
      </c>
      <c r="B21" s="130" t="s">
        <v>30</v>
      </c>
      <c r="C21" s="131">
        <v>313000</v>
      </c>
      <c r="D21" s="131">
        <v>313000</v>
      </c>
      <c r="E21" s="306" t="s">
        <v>351</v>
      </c>
      <c r="F21" s="307"/>
      <c r="G21" s="308"/>
    </row>
    <row r="22" spans="1:7" ht="39" customHeight="1">
      <c r="A22" s="134"/>
      <c r="B22" s="130" t="s">
        <v>352</v>
      </c>
      <c r="C22" s="131">
        <v>4500000000</v>
      </c>
      <c r="D22" s="131">
        <v>0</v>
      </c>
      <c r="E22" s="291"/>
      <c r="F22" s="292"/>
      <c r="G22" s="293"/>
    </row>
    <row r="23" spans="1:7" ht="39.75" customHeight="1" thickBot="1">
      <c r="A23" s="317" t="s">
        <v>31</v>
      </c>
      <c r="B23" s="318"/>
      <c r="C23" s="135">
        <f>SUM(C18:C22)</f>
        <v>1000000000000</v>
      </c>
      <c r="D23" s="136">
        <f>SUM(D18:D21)</f>
        <v>11014546</v>
      </c>
      <c r="E23" s="294"/>
      <c r="F23" s="295"/>
      <c r="G23" s="296"/>
    </row>
    <row r="26" spans="1:7">
      <c r="D26" s="6"/>
      <c r="E26" s="6"/>
    </row>
  </sheetData>
  <mergeCells count="27">
    <mergeCell ref="A23:B23"/>
    <mergeCell ref="A4:G5"/>
    <mergeCell ref="A15:B15"/>
    <mergeCell ref="C1:E1"/>
    <mergeCell ref="C2:E2"/>
    <mergeCell ref="F1:F2"/>
    <mergeCell ref="G1:G2"/>
    <mergeCell ref="E7:G7"/>
    <mergeCell ref="E15:G15"/>
    <mergeCell ref="A16:G16"/>
    <mergeCell ref="E9:G9"/>
    <mergeCell ref="E11:G11"/>
    <mergeCell ref="E10:G10"/>
    <mergeCell ref="E13:G13"/>
    <mergeCell ref="E12:G12"/>
    <mergeCell ref="E14:G14"/>
    <mergeCell ref="A1:A2"/>
    <mergeCell ref="E6:G6"/>
    <mergeCell ref="E8:G8"/>
    <mergeCell ref="B1:B2"/>
    <mergeCell ref="E22:G22"/>
    <mergeCell ref="E23:G23"/>
    <mergeCell ref="E18:G18"/>
    <mergeCell ref="E17:G17"/>
    <mergeCell ref="E19:G19"/>
    <mergeCell ref="E20:G20"/>
    <mergeCell ref="E21:G21"/>
  </mergeCells>
  <hyperlinks>
    <hyperlink ref="E7" location="'Piping &amp; Valves'!A1" display="برو به شیت Piping &amp; Valves →" xr:uid="{00000000-0004-0000-0000-000000000000}"/>
    <hyperlink ref="E8" location="'Mechanical'!A1" display="برو به شیت Mechanical →" xr:uid="{00000000-0004-0000-0000-000001000000}"/>
    <hyperlink ref="E9" location="'Electrical'!A1" display="برو به شیت Electrical →" xr:uid="{00000000-0004-0000-0000-000002000000}"/>
    <hyperlink ref="E10" location="'Instrumentation'!A1" display="برو به شیت Instrumentation →" xr:uid="{00000000-0004-0000-0000-000003000000}"/>
    <hyperlink ref="E11" location="'Cathodic Protection'!A1" display="برو به شیت Cathodic Protection →" xr:uid="{00000000-0004-0000-0000-000004000000}"/>
    <hyperlink ref="E12" location="'Safety &amp; Fire Fighting'!A1" display="برو به شیت Safety &amp; Fire Fighting →" xr:uid="{00000000-0004-0000-0000-000005000000}"/>
    <hyperlink ref="E13" location="'Spare Parts'!A1" display="برو به شیت Spare Parts →" xr:uid="{00000000-0004-0000-0000-000006000000}"/>
  </hyperlinks>
  <printOptions horizontalCentered="1" verticalCentered="1"/>
  <pageMargins left="0.1" right="0.1" top="0.1" bottom="0.1" header="0.1" footer="0.1"/>
  <pageSetup paperSize="8" scale="6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B365-4661-4428-A2FC-BA8C7B36289B}">
  <sheetPr>
    <pageSetUpPr fitToPage="1"/>
  </sheetPr>
  <dimension ref="A1:F11"/>
  <sheetViews>
    <sheetView rightToLeft="1" tabSelected="1" view="pageBreakPreview" topLeftCell="D5" zoomScale="85" zoomScaleNormal="85" zoomScaleSheetLayoutView="85" workbookViewId="0">
      <selection activeCell="O5" sqref="O5"/>
    </sheetView>
  </sheetViews>
  <sheetFormatPr defaultRowHeight="15"/>
  <cols>
    <col min="1" max="1" width="21.285156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75"/>
      <c r="C1" s="275"/>
      <c r="D1" s="275"/>
      <c r="E1" s="275"/>
      <c r="F1" s="276"/>
    </row>
    <row r="2" spans="1:6" ht="45" customHeight="1">
      <c r="A2" s="277"/>
      <c r="B2" s="278"/>
      <c r="C2" s="278"/>
      <c r="D2" s="278"/>
      <c r="E2" s="278"/>
      <c r="F2" s="279"/>
    </row>
    <row r="3" spans="1:6" ht="37.5" customHeight="1" thickBot="1">
      <c r="A3" s="277"/>
      <c r="B3" s="278"/>
      <c r="C3" s="278"/>
      <c r="D3" s="278"/>
      <c r="E3" s="278"/>
      <c r="F3" s="279"/>
    </row>
    <row r="4" spans="1:6" ht="307.5" customHeight="1">
      <c r="A4" s="277"/>
      <c r="B4" s="342" t="s">
        <v>755</v>
      </c>
      <c r="C4" s="343"/>
      <c r="D4" s="343"/>
      <c r="E4" s="344"/>
      <c r="F4" s="279"/>
    </row>
    <row r="5" spans="1:6" ht="409.6" customHeight="1">
      <c r="A5" s="277"/>
      <c r="B5" s="345"/>
      <c r="C5" s="346"/>
      <c r="D5" s="346"/>
      <c r="E5" s="347"/>
      <c r="F5" s="279"/>
    </row>
    <row r="6" spans="1:6" ht="165.75" customHeight="1">
      <c r="A6" s="277"/>
      <c r="B6" s="345"/>
      <c r="C6" s="346"/>
      <c r="D6" s="346"/>
      <c r="E6" s="347"/>
      <c r="F6" s="279"/>
    </row>
    <row r="7" spans="1:6" ht="321.75" customHeight="1">
      <c r="A7" s="277"/>
      <c r="B7" s="345"/>
      <c r="C7" s="346"/>
      <c r="D7" s="346"/>
      <c r="E7" s="347"/>
      <c r="F7" s="279"/>
    </row>
    <row r="8" spans="1:6" ht="370.5" customHeight="1">
      <c r="A8" s="277"/>
      <c r="B8" s="345"/>
      <c r="C8" s="346"/>
      <c r="D8" s="346"/>
      <c r="E8" s="347"/>
      <c r="F8" s="279"/>
    </row>
    <row r="9" spans="1:6" ht="204.75" customHeight="1">
      <c r="A9" s="277"/>
      <c r="B9" s="345"/>
      <c r="C9" s="346"/>
      <c r="D9" s="346"/>
      <c r="E9" s="347"/>
      <c r="F9" s="279"/>
    </row>
    <row r="10" spans="1:6" ht="189.75" customHeight="1" thickBot="1">
      <c r="A10" s="277"/>
      <c r="B10" s="348"/>
      <c r="C10" s="349"/>
      <c r="D10" s="349"/>
      <c r="E10" s="350"/>
      <c r="F10" s="279"/>
    </row>
    <row r="11" spans="1:6" ht="135.75" customHeight="1" thickBot="1">
      <c r="A11" s="280"/>
      <c r="B11" s="281"/>
      <c r="C11" s="281"/>
      <c r="D11" s="281"/>
      <c r="E11" s="281"/>
      <c r="F11" s="282"/>
    </row>
  </sheetData>
  <mergeCells count="1">
    <mergeCell ref="B4:E10"/>
  </mergeCells>
  <printOptions horizontalCentered="1" verticalCentered="1"/>
  <pageMargins left="0.1" right="0.1" top="0.1" bottom="0.1" header="0.1" footer="0.1"/>
  <pageSetup paperSize="8" scale="3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C250-99BA-4AF6-BB03-4ED24F21945F}">
  <sheetPr>
    <pageSetUpPr fitToPage="1"/>
  </sheetPr>
  <dimension ref="A1:F11"/>
  <sheetViews>
    <sheetView rightToLeft="1" view="pageBreakPreview" zoomScale="60" zoomScaleNormal="85" workbookViewId="0">
      <selection activeCell="E4" sqref="E4"/>
    </sheetView>
  </sheetViews>
  <sheetFormatPr defaultRowHeight="15"/>
  <cols>
    <col min="1" max="1" width="8.1406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351" t="s">
        <v>675</v>
      </c>
      <c r="B1" s="352"/>
      <c r="C1" s="352"/>
      <c r="D1" s="352"/>
      <c r="E1" s="352"/>
      <c r="F1" s="352"/>
    </row>
    <row r="2" spans="1:6" ht="45" customHeight="1">
      <c r="A2" s="353" t="s">
        <v>0</v>
      </c>
      <c r="B2" s="352"/>
      <c r="C2" s="352"/>
      <c r="D2" s="352"/>
      <c r="E2" s="352"/>
      <c r="F2" s="352"/>
    </row>
    <row r="3" spans="1:6" ht="37.5" customHeight="1">
      <c r="A3" s="250" t="s">
        <v>2</v>
      </c>
      <c r="B3" s="250" t="s">
        <v>676</v>
      </c>
      <c r="C3" s="250" t="s">
        <v>677</v>
      </c>
      <c r="D3" s="250" t="s">
        <v>678</v>
      </c>
      <c r="E3" s="250" t="s">
        <v>754</v>
      </c>
      <c r="F3" s="250" t="s">
        <v>679</v>
      </c>
    </row>
    <row r="4" spans="1:6" ht="307.5" customHeight="1">
      <c r="A4" s="251" t="s">
        <v>680</v>
      </c>
      <c r="B4" s="251" t="s">
        <v>681</v>
      </c>
      <c r="C4" s="252" t="s">
        <v>682</v>
      </c>
      <c r="D4" s="253" t="s">
        <v>683</v>
      </c>
      <c r="E4" s="253" t="s">
        <v>684</v>
      </c>
      <c r="F4" s="253" t="s">
        <v>685</v>
      </c>
    </row>
    <row r="5" spans="1:6" ht="409.6" customHeight="1">
      <c r="A5" s="354" t="s">
        <v>686</v>
      </c>
      <c r="B5" s="354" t="s">
        <v>687</v>
      </c>
      <c r="C5" s="355" t="s">
        <v>688</v>
      </c>
      <c r="D5" s="356" t="s">
        <v>689</v>
      </c>
      <c r="E5" s="356" t="s">
        <v>690</v>
      </c>
      <c r="F5" s="356" t="s">
        <v>691</v>
      </c>
    </row>
    <row r="6" spans="1:6" ht="165.75" customHeight="1">
      <c r="A6" s="354"/>
      <c r="B6" s="354"/>
      <c r="C6" s="355"/>
      <c r="D6" s="356"/>
      <c r="E6" s="356"/>
      <c r="F6" s="356"/>
    </row>
    <row r="7" spans="1:6" ht="321.75" customHeight="1">
      <c r="A7" s="251" t="s">
        <v>692</v>
      </c>
      <c r="B7" s="251" t="s">
        <v>693</v>
      </c>
      <c r="C7" s="252" t="s">
        <v>694</v>
      </c>
      <c r="D7" s="253" t="s">
        <v>695</v>
      </c>
      <c r="E7" s="253" t="s">
        <v>696</v>
      </c>
      <c r="F7" s="253" t="s">
        <v>697</v>
      </c>
    </row>
    <row r="8" spans="1:6" ht="370.5" customHeight="1">
      <c r="A8" s="254" t="s">
        <v>698</v>
      </c>
      <c r="B8" s="254" t="s">
        <v>699</v>
      </c>
      <c r="C8" s="255" t="s">
        <v>700</v>
      </c>
      <c r="D8" s="256" t="s">
        <v>701</v>
      </c>
      <c r="E8" s="256" t="s">
        <v>702</v>
      </c>
      <c r="F8" s="256" t="s">
        <v>703</v>
      </c>
    </row>
    <row r="9" spans="1:6" ht="204.75" customHeight="1">
      <c r="A9" s="251" t="s">
        <v>704</v>
      </c>
      <c r="B9" s="251" t="s">
        <v>705</v>
      </c>
      <c r="C9" s="257" t="s">
        <v>706</v>
      </c>
      <c r="D9" s="253" t="s">
        <v>707</v>
      </c>
      <c r="E9" s="253" t="s">
        <v>708</v>
      </c>
      <c r="F9" s="253" t="s">
        <v>709</v>
      </c>
    </row>
    <row r="10" spans="1:6" ht="189.75" customHeight="1">
      <c r="A10" s="254" t="s">
        <v>710</v>
      </c>
      <c r="B10" s="254" t="s">
        <v>711</v>
      </c>
      <c r="C10" s="258" t="s">
        <v>712</v>
      </c>
      <c r="D10" s="256" t="s">
        <v>713</v>
      </c>
      <c r="E10" s="256" t="s">
        <v>714</v>
      </c>
      <c r="F10" s="256" t="s">
        <v>715</v>
      </c>
    </row>
    <row r="11" spans="1:6" ht="135.75" customHeight="1">
      <c r="A11" s="251" t="s">
        <v>716</v>
      </c>
      <c r="B11" s="251" t="s">
        <v>717</v>
      </c>
      <c r="C11" s="257" t="s">
        <v>718</v>
      </c>
      <c r="D11" s="253" t="s">
        <v>719</v>
      </c>
      <c r="E11" s="253" t="s">
        <v>720</v>
      </c>
      <c r="F11" s="253" t="s">
        <v>721</v>
      </c>
    </row>
  </sheetData>
  <mergeCells count="8">
    <mergeCell ref="A1:F1"/>
    <mergeCell ref="A2:F2"/>
    <mergeCell ref="A5:A6"/>
    <mergeCell ref="B5:B6"/>
    <mergeCell ref="C5:C6"/>
    <mergeCell ref="D5:D6"/>
    <mergeCell ref="E5:E6"/>
    <mergeCell ref="F5:F6"/>
  </mergeCells>
  <printOptions horizontalCentered="1" verticalCentered="1"/>
  <pageMargins left="0.1" right="0.1" top="0.1" bottom="0.1" header="0.1" footer="0.1"/>
  <pageSetup paperSize="8" scale="3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3AAB-1590-46CA-A42B-E81C62E66BEC}">
  <sheetPr>
    <pageSetUpPr fitToPage="1"/>
  </sheetPr>
  <dimension ref="A1:F10"/>
  <sheetViews>
    <sheetView view="pageBreakPreview" zoomScale="60" zoomScaleNormal="70" workbookViewId="0">
      <selection activeCell="E5" sqref="E5"/>
    </sheetView>
  </sheetViews>
  <sheetFormatPr defaultRowHeight="15"/>
  <cols>
    <col min="1" max="1" width="10" style="260" customWidth="1"/>
    <col min="2" max="2" width="35.140625" style="267" customWidth="1"/>
    <col min="3" max="3" width="110.5703125" style="268" customWidth="1"/>
    <col min="4" max="4" width="43.140625" style="267" customWidth="1"/>
    <col min="5" max="5" width="38.85546875" style="267" customWidth="1"/>
    <col min="6" max="6" width="28.42578125" style="267" customWidth="1"/>
    <col min="7" max="16384" width="9.140625" style="260"/>
  </cols>
  <sheetData>
    <row r="1" spans="1:6" ht="35.1" customHeight="1">
      <c r="A1" s="357" t="s">
        <v>722</v>
      </c>
      <c r="B1" s="358"/>
      <c r="C1" s="358"/>
      <c r="D1" s="358"/>
      <c r="E1" s="358"/>
      <c r="F1" s="358"/>
    </row>
    <row r="2" spans="1:6" ht="38.25" customHeight="1">
      <c r="A2" s="359" t="s">
        <v>723</v>
      </c>
      <c r="B2" s="360"/>
      <c r="C2" s="360"/>
      <c r="D2" s="360"/>
      <c r="E2" s="360"/>
      <c r="F2" s="360"/>
    </row>
    <row r="3" spans="1:6" ht="30" customHeight="1">
      <c r="A3" s="261" t="s">
        <v>724</v>
      </c>
      <c r="B3" s="261" t="s">
        <v>725</v>
      </c>
      <c r="C3" s="262" t="s">
        <v>726</v>
      </c>
      <c r="D3" s="261" t="s">
        <v>727</v>
      </c>
      <c r="E3" s="261" t="s">
        <v>753</v>
      </c>
      <c r="F3" s="261" t="s">
        <v>728</v>
      </c>
    </row>
    <row r="4" spans="1:6" ht="264" customHeight="1">
      <c r="A4" s="263" t="s">
        <v>680</v>
      </c>
      <c r="B4" s="263" t="s">
        <v>685</v>
      </c>
      <c r="C4" s="264" t="s">
        <v>729</v>
      </c>
      <c r="D4" s="263" t="s">
        <v>730</v>
      </c>
      <c r="E4" s="263" t="s">
        <v>731</v>
      </c>
      <c r="F4" s="263" t="s">
        <v>685</v>
      </c>
    </row>
    <row r="5" spans="1:6" ht="330" customHeight="1">
      <c r="A5" s="265" t="s">
        <v>686</v>
      </c>
      <c r="B5" s="265" t="s">
        <v>732</v>
      </c>
      <c r="C5" s="266" t="s">
        <v>733</v>
      </c>
      <c r="D5" s="265" t="s">
        <v>734</v>
      </c>
      <c r="E5" s="265" t="s">
        <v>735</v>
      </c>
      <c r="F5" s="265" t="s">
        <v>691</v>
      </c>
    </row>
    <row r="6" spans="1:6" ht="382.5" customHeight="1">
      <c r="A6" s="263" t="s">
        <v>692</v>
      </c>
      <c r="B6" s="263" t="s">
        <v>736</v>
      </c>
      <c r="C6" s="264" t="s">
        <v>737</v>
      </c>
      <c r="D6" s="263" t="s">
        <v>738</v>
      </c>
      <c r="E6" s="263" t="s">
        <v>739</v>
      </c>
      <c r="F6" s="263" t="s">
        <v>697</v>
      </c>
    </row>
    <row r="7" spans="1:6" ht="409.5" customHeight="1">
      <c r="A7" s="265" t="s">
        <v>698</v>
      </c>
      <c r="B7" s="265" t="s">
        <v>740</v>
      </c>
      <c r="C7" s="266" t="s">
        <v>741</v>
      </c>
      <c r="D7" s="265" t="s">
        <v>742</v>
      </c>
      <c r="E7" s="265" t="s">
        <v>743</v>
      </c>
      <c r="F7" s="265" t="s">
        <v>703</v>
      </c>
    </row>
    <row r="8" spans="1:6" ht="274.5" customHeight="1">
      <c r="A8" s="263" t="s">
        <v>704</v>
      </c>
      <c r="B8" s="263" t="s">
        <v>709</v>
      </c>
      <c r="C8" s="264" t="s">
        <v>744</v>
      </c>
      <c r="D8" s="263" t="s">
        <v>745</v>
      </c>
      <c r="E8" s="263" t="s">
        <v>746</v>
      </c>
      <c r="F8" s="263" t="s">
        <v>709</v>
      </c>
    </row>
    <row r="9" spans="1:6" ht="200.25" customHeight="1">
      <c r="A9" s="265" t="s">
        <v>710</v>
      </c>
      <c r="B9" s="265" t="s">
        <v>715</v>
      </c>
      <c r="C9" s="266" t="s">
        <v>747</v>
      </c>
      <c r="D9" s="265" t="s">
        <v>748</v>
      </c>
      <c r="E9" s="265" t="s">
        <v>749</v>
      </c>
      <c r="F9" s="265" t="s">
        <v>715</v>
      </c>
    </row>
    <row r="10" spans="1:6" ht="159" customHeight="1">
      <c r="A10" s="263" t="s">
        <v>716</v>
      </c>
      <c r="B10" s="263" t="s">
        <v>721</v>
      </c>
      <c r="C10" s="264" t="s">
        <v>750</v>
      </c>
      <c r="D10" s="263" t="s">
        <v>751</v>
      </c>
      <c r="E10" s="263" t="s">
        <v>752</v>
      </c>
      <c r="F10" s="263" t="s">
        <v>721</v>
      </c>
    </row>
  </sheetData>
  <mergeCells count="2">
    <mergeCell ref="A1:F1"/>
    <mergeCell ref="A2:F2"/>
  </mergeCells>
  <printOptions horizontalCentered="1" verticalCentered="1"/>
  <pageMargins left="0.1" right="0.1" top="0.1" bottom="0.1" header="0.1" footer="0.1"/>
  <pageSetup paperSize="8" scale="38" orientation="portrait" r:id="rId1"/>
  <colBreaks count="1" manualBreakCount="1">
    <brk id="2" max="10"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3DCC-4477-48D6-9824-C33F4532FE2E}">
  <sheetPr>
    <pageSetUpPr fitToPage="1"/>
  </sheetPr>
  <dimension ref="A1:F11"/>
  <sheetViews>
    <sheetView rightToLeft="1" view="pageBreakPreview" zoomScale="40" zoomScaleNormal="85" zoomScaleSheetLayoutView="40" workbookViewId="0">
      <selection activeCell="K5" sqref="K5"/>
    </sheetView>
  </sheetViews>
  <sheetFormatPr defaultRowHeight="15"/>
  <cols>
    <col min="1" max="1" width="21.140625" style="259" customWidth="1"/>
    <col min="2" max="2" width="20.710937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75"/>
      <c r="C1" s="275"/>
      <c r="D1" s="275"/>
      <c r="E1" s="275"/>
      <c r="F1" s="276"/>
    </row>
    <row r="2" spans="1:6" ht="45" customHeight="1">
      <c r="A2" s="277"/>
      <c r="B2" s="278"/>
      <c r="C2" s="278"/>
      <c r="D2" s="278"/>
      <c r="E2" s="278"/>
      <c r="F2" s="279"/>
    </row>
    <row r="3" spans="1:6" ht="37.5" customHeight="1" thickBot="1">
      <c r="A3" s="277"/>
      <c r="B3" s="278"/>
      <c r="C3" s="278"/>
      <c r="D3" s="278"/>
      <c r="E3" s="278"/>
      <c r="F3" s="279"/>
    </row>
    <row r="4" spans="1:6" ht="307.5" customHeight="1" thickBot="1">
      <c r="A4" s="277"/>
      <c r="B4" s="361" t="s">
        <v>756</v>
      </c>
      <c r="C4" s="362"/>
      <c r="D4" s="362"/>
      <c r="E4" s="363"/>
      <c r="F4" s="279"/>
    </row>
    <row r="5" spans="1:6" ht="409.6" customHeight="1">
      <c r="A5" s="277"/>
      <c r="B5" s="278"/>
      <c r="C5" s="278"/>
      <c r="D5" s="278"/>
      <c r="E5" s="278"/>
      <c r="F5" s="279"/>
    </row>
    <row r="6" spans="1:6" ht="165.75" customHeight="1">
      <c r="A6" s="277"/>
      <c r="B6" s="278"/>
      <c r="C6" s="278"/>
      <c r="D6" s="278"/>
      <c r="E6" s="278"/>
      <c r="F6" s="279"/>
    </row>
    <row r="7" spans="1:6" ht="321.75" customHeight="1">
      <c r="A7" s="277"/>
      <c r="B7" s="278"/>
      <c r="C7" s="278"/>
      <c r="D7" s="278"/>
      <c r="E7" s="278"/>
      <c r="F7" s="279"/>
    </row>
    <row r="8" spans="1:6" ht="370.5" customHeight="1">
      <c r="A8" s="277"/>
      <c r="B8" s="278"/>
      <c r="C8" s="278"/>
      <c r="D8" s="278"/>
      <c r="E8" s="278"/>
      <c r="F8" s="279"/>
    </row>
    <row r="9" spans="1:6" ht="204.75" customHeight="1">
      <c r="A9" s="277"/>
      <c r="B9" s="278"/>
      <c r="C9" s="278"/>
      <c r="D9" s="278"/>
      <c r="E9" s="278"/>
      <c r="F9" s="279"/>
    </row>
    <row r="10" spans="1:6" ht="189.75" customHeight="1">
      <c r="A10" s="277"/>
      <c r="B10" s="278"/>
      <c r="C10" s="278"/>
      <c r="D10" s="278"/>
      <c r="E10" s="278"/>
      <c r="F10" s="279"/>
    </row>
    <row r="11" spans="1:6" ht="135.75" customHeight="1" thickBot="1">
      <c r="A11" s="280"/>
      <c r="B11" s="281"/>
      <c r="C11" s="281"/>
      <c r="D11" s="281"/>
      <c r="E11" s="281"/>
      <c r="F11" s="282"/>
    </row>
  </sheetData>
  <mergeCells count="1">
    <mergeCell ref="B4:E4"/>
  </mergeCells>
  <printOptions horizontalCentered="1" verticalCentered="1"/>
  <pageMargins left="0.1" right="0.1" top="0.1" bottom="0.1" header="0.1" footer="0.1"/>
  <pageSetup paperSize="8" scale="36"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B1C9-BE6B-4A77-AC8E-AB64226E2C79}">
  <sheetPr>
    <pageSetUpPr fitToPage="1"/>
  </sheetPr>
  <dimension ref="A1:F11"/>
  <sheetViews>
    <sheetView rightToLeft="1" view="pageBreakPreview" zoomScale="25" zoomScaleNormal="85" zoomScaleSheetLayoutView="25" workbookViewId="0">
      <selection activeCell="P10" sqref="P10"/>
    </sheetView>
  </sheetViews>
  <sheetFormatPr defaultRowHeight="15"/>
  <cols>
    <col min="1" max="1" width="19.57031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83"/>
      <c r="C1" s="283"/>
      <c r="D1" s="283"/>
      <c r="E1" s="283"/>
      <c r="F1" s="284"/>
    </row>
    <row r="2" spans="1:6" ht="45" customHeight="1">
      <c r="A2" s="285"/>
      <c r="B2" s="286"/>
      <c r="C2" s="286"/>
      <c r="D2" s="286"/>
      <c r="E2" s="286"/>
      <c r="F2" s="287"/>
    </row>
    <row r="3" spans="1:6" ht="37.5" customHeight="1" thickBot="1">
      <c r="A3" s="285"/>
      <c r="B3" s="286"/>
      <c r="C3" s="286"/>
      <c r="D3" s="286"/>
      <c r="E3" s="286"/>
      <c r="F3" s="287"/>
    </row>
    <row r="4" spans="1:6" ht="307.5" customHeight="1">
      <c r="A4" s="285"/>
      <c r="B4" s="364" t="s">
        <v>757</v>
      </c>
      <c r="C4" s="365"/>
      <c r="D4" s="365"/>
      <c r="E4" s="366"/>
      <c r="F4" s="287"/>
    </row>
    <row r="5" spans="1:6" ht="409.6" customHeight="1">
      <c r="A5" s="285"/>
      <c r="B5" s="367"/>
      <c r="C5" s="368"/>
      <c r="D5" s="368"/>
      <c r="E5" s="369"/>
      <c r="F5" s="287"/>
    </row>
    <row r="6" spans="1:6" ht="165.75" customHeight="1">
      <c r="A6" s="285"/>
      <c r="B6" s="367"/>
      <c r="C6" s="368"/>
      <c r="D6" s="368"/>
      <c r="E6" s="369"/>
      <c r="F6" s="287"/>
    </row>
    <row r="7" spans="1:6" ht="321.75" customHeight="1">
      <c r="A7" s="285"/>
      <c r="B7" s="367"/>
      <c r="C7" s="368"/>
      <c r="D7" s="368"/>
      <c r="E7" s="369"/>
      <c r="F7" s="287"/>
    </row>
    <row r="8" spans="1:6" ht="370.5" customHeight="1">
      <c r="A8" s="285"/>
      <c r="B8" s="367"/>
      <c r="C8" s="368"/>
      <c r="D8" s="368"/>
      <c r="E8" s="369"/>
      <c r="F8" s="287"/>
    </row>
    <row r="9" spans="1:6" ht="204.75" customHeight="1">
      <c r="A9" s="285"/>
      <c r="B9" s="367"/>
      <c r="C9" s="368"/>
      <c r="D9" s="368"/>
      <c r="E9" s="369"/>
      <c r="F9" s="287"/>
    </row>
    <row r="10" spans="1:6" ht="189.75" customHeight="1" thickBot="1">
      <c r="A10" s="285"/>
      <c r="B10" s="370"/>
      <c r="C10" s="371"/>
      <c r="D10" s="371"/>
      <c r="E10" s="372"/>
      <c r="F10" s="287"/>
    </row>
    <row r="11" spans="1:6" ht="135.75" customHeight="1" thickBot="1">
      <c r="A11" s="288"/>
      <c r="B11" s="289"/>
      <c r="C11" s="289"/>
      <c r="D11" s="289"/>
      <c r="E11" s="289"/>
      <c r="F11" s="290"/>
    </row>
  </sheetData>
  <mergeCells count="1">
    <mergeCell ref="B4:E10"/>
  </mergeCells>
  <printOptions horizontalCentered="1" verticalCentered="1"/>
  <pageMargins left="0.1" right="0.1" top="0.1" bottom="0.1" header="0.1" footer="0.1"/>
  <pageSetup paperSize="8"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tabColor rgb="FFFF0000"/>
    <pageSetUpPr fitToPage="1"/>
  </sheetPr>
  <dimension ref="A1:M72"/>
  <sheetViews>
    <sheetView showGridLines="0" view="pageBreakPreview" zoomScale="70" zoomScaleNormal="55" zoomScaleSheetLayoutView="70" workbookViewId="0">
      <selection activeCell="B1" sqref="B1:B2"/>
    </sheetView>
  </sheetViews>
  <sheetFormatPr defaultRowHeight="24"/>
  <cols>
    <col min="1" max="1" width="47.140625" style="76" customWidth="1"/>
    <col min="2" max="2" width="8" customWidth="1"/>
    <col min="3" max="3" width="14.85546875" customWidth="1"/>
    <col min="4" max="4" width="135.28515625" bestFit="1" customWidth="1"/>
    <col min="5" max="5" width="12" customWidth="1"/>
    <col min="6" max="6" width="10" customWidth="1"/>
    <col min="7" max="7" width="12" style="2" customWidth="1"/>
    <col min="8" max="9" width="20" style="2" customWidth="1"/>
    <col min="10" max="11" width="22" style="2" customWidth="1"/>
    <col min="12" max="12" width="9.140625" style="4"/>
    <col min="13" max="13" width="48.85546875" style="4" customWidth="1"/>
  </cols>
  <sheetData>
    <row r="1" spans="1:13" ht="27.95" customHeight="1">
      <c r="A1" s="137"/>
      <c r="B1" s="398"/>
      <c r="C1" s="38"/>
      <c r="D1" s="373" t="s">
        <v>0</v>
      </c>
      <c r="E1" s="373"/>
      <c r="F1" s="373"/>
      <c r="G1" s="373"/>
      <c r="H1" s="373"/>
      <c r="I1" s="373"/>
      <c r="J1" s="373"/>
      <c r="K1" s="413"/>
      <c r="L1" s="138"/>
      <c r="M1" s="139"/>
    </row>
    <row r="2" spans="1:13" ht="27.95" customHeight="1" thickBot="1">
      <c r="A2" s="140"/>
      <c r="B2" s="399"/>
      <c r="C2" s="163"/>
      <c r="D2" s="116"/>
      <c r="E2" s="327" t="s">
        <v>32</v>
      </c>
      <c r="F2" s="328"/>
      <c r="G2" s="328"/>
      <c r="H2" s="328"/>
      <c r="I2" s="329"/>
      <c r="J2" s="116"/>
      <c r="K2" s="414"/>
      <c r="L2" s="35"/>
      <c r="M2" s="67"/>
    </row>
    <row r="3" spans="1:13" ht="21.95" customHeight="1" thickBot="1">
      <c r="A3" s="140"/>
      <c r="B3" s="381" t="s">
        <v>33</v>
      </c>
      <c r="C3" s="382"/>
      <c r="D3" s="383"/>
      <c r="E3" s="160"/>
      <c r="F3" s="160"/>
      <c r="G3" s="161"/>
      <c r="H3" s="161"/>
      <c r="I3" s="161"/>
      <c r="J3" s="161"/>
      <c r="K3" s="40"/>
      <c r="L3" s="35"/>
      <c r="M3" s="67"/>
    </row>
    <row r="4" spans="1:13" ht="15" customHeight="1">
      <c r="A4" s="140"/>
      <c r="B4" s="41"/>
      <c r="C4" s="1"/>
      <c r="D4" s="1"/>
      <c r="E4" s="1"/>
      <c r="F4" s="1"/>
      <c r="G4" s="3"/>
      <c r="H4" s="3"/>
      <c r="I4" s="3"/>
      <c r="J4" s="3"/>
      <c r="K4" s="40"/>
      <c r="L4" s="35"/>
      <c r="M4" s="67"/>
    </row>
    <row r="5" spans="1:13" ht="58.5" customHeight="1" thickBot="1">
      <c r="A5" s="141"/>
      <c r="B5" s="374" t="s">
        <v>34</v>
      </c>
      <c r="C5" s="375"/>
      <c r="D5" s="376"/>
      <c r="E5" s="376"/>
      <c r="F5" s="376"/>
      <c r="G5" s="376"/>
      <c r="H5" s="376"/>
      <c r="I5" s="376"/>
      <c r="J5" s="376"/>
      <c r="K5" s="377"/>
      <c r="L5" s="142"/>
      <c r="M5" s="143"/>
    </row>
    <row r="6" spans="1:13" ht="27.95" customHeight="1">
      <c r="A6" s="174" t="s">
        <v>506</v>
      </c>
      <c r="B6" s="113" t="s">
        <v>35</v>
      </c>
      <c r="C6" s="114" t="s">
        <v>393</v>
      </c>
      <c r="D6" s="114" t="s">
        <v>523</v>
      </c>
      <c r="E6" s="114" t="s">
        <v>37</v>
      </c>
      <c r="F6" s="114" t="s">
        <v>38</v>
      </c>
      <c r="G6" s="114" t="s">
        <v>39</v>
      </c>
      <c r="H6" s="114" t="s">
        <v>40</v>
      </c>
      <c r="I6" s="114" t="s">
        <v>41</v>
      </c>
      <c r="J6" s="114" t="s">
        <v>42</v>
      </c>
      <c r="K6" s="115" t="s">
        <v>43</v>
      </c>
      <c r="L6" s="400" t="s">
        <v>480</v>
      </c>
      <c r="M6" s="401"/>
    </row>
    <row r="7" spans="1:13" ht="54.95" customHeight="1">
      <c r="A7" s="189" t="s">
        <v>504</v>
      </c>
      <c r="B7" s="45">
        <v>1</v>
      </c>
      <c r="C7" s="9" t="s">
        <v>394</v>
      </c>
      <c r="D7" s="10" t="s">
        <v>44</v>
      </c>
      <c r="E7" s="122" t="s">
        <v>45</v>
      </c>
      <c r="F7" s="122" t="s">
        <v>46</v>
      </c>
      <c r="G7" s="123">
        <v>96</v>
      </c>
      <c r="H7" s="124">
        <v>0</v>
      </c>
      <c r="I7" s="125">
        <v>45</v>
      </c>
      <c r="J7" s="124">
        <f t="shared" ref="J7:J28" si="0">G7*H7</f>
        <v>0</v>
      </c>
      <c r="K7" s="46">
        <f t="shared" ref="K7:K28" si="1">G7*I7</f>
        <v>4320</v>
      </c>
      <c r="L7" s="402" t="s">
        <v>401</v>
      </c>
      <c r="M7" s="403"/>
    </row>
    <row r="8" spans="1:13" ht="54.95" customHeight="1">
      <c r="A8" s="189" t="s">
        <v>504</v>
      </c>
      <c r="B8" s="47">
        <v>2</v>
      </c>
      <c r="C8" s="14" t="s">
        <v>394</v>
      </c>
      <c r="D8" s="15" t="s">
        <v>47</v>
      </c>
      <c r="E8" s="144" t="s">
        <v>45</v>
      </c>
      <c r="F8" s="144" t="s">
        <v>46</v>
      </c>
      <c r="G8" s="145">
        <v>72</v>
      </c>
      <c r="H8" s="146">
        <v>0</v>
      </c>
      <c r="I8" s="147">
        <v>45</v>
      </c>
      <c r="J8" s="146">
        <f t="shared" si="0"/>
        <v>0</v>
      </c>
      <c r="K8" s="48">
        <f t="shared" si="1"/>
        <v>3240</v>
      </c>
      <c r="L8" s="402"/>
      <c r="M8" s="403"/>
    </row>
    <row r="9" spans="1:13" ht="54.95" customHeight="1">
      <c r="A9" s="189" t="s">
        <v>504</v>
      </c>
      <c r="B9" s="45">
        <v>3</v>
      </c>
      <c r="C9" s="9" t="s">
        <v>394</v>
      </c>
      <c r="D9" s="10" t="s">
        <v>48</v>
      </c>
      <c r="E9" s="122" t="s">
        <v>45</v>
      </c>
      <c r="F9" s="122" t="s">
        <v>46</v>
      </c>
      <c r="G9" s="123">
        <v>72</v>
      </c>
      <c r="H9" s="124">
        <v>0</v>
      </c>
      <c r="I9" s="125">
        <v>45</v>
      </c>
      <c r="J9" s="124">
        <f t="shared" si="0"/>
        <v>0</v>
      </c>
      <c r="K9" s="46">
        <f t="shared" si="1"/>
        <v>3240</v>
      </c>
      <c r="L9" s="402"/>
      <c r="M9" s="403"/>
    </row>
    <row r="10" spans="1:13" ht="54.95" customHeight="1">
      <c r="A10" s="189" t="s">
        <v>504</v>
      </c>
      <c r="B10" s="47">
        <v>4</v>
      </c>
      <c r="C10" s="14" t="s">
        <v>394</v>
      </c>
      <c r="D10" s="15" t="s">
        <v>49</v>
      </c>
      <c r="E10" s="144" t="s">
        <v>50</v>
      </c>
      <c r="F10" s="144" t="s">
        <v>46</v>
      </c>
      <c r="G10" s="145">
        <v>150</v>
      </c>
      <c r="H10" s="146">
        <v>0</v>
      </c>
      <c r="I10" s="147">
        <v>64</v>
      </c>
      <c r="J10" s="146">
        <f t="shared" si="0"/>
        <v>0</v>
      </c>
      <c r="K10" s="48">
        <f t="shared" si="1"/>
        <v>9600</v>
      </c>
      <c r="L10" s="402"/>
      <c r="M10" s="403"/>
    </row>
    <row r="11" spans="1:13" ht="54.95" customHeight="1">
      <c r="A11" s="189" t="s">
        <v>504</v>
      </c>
      <c r="B11" s="45">
        <v>5</v>
      </c>
      <c r="C11" s="9" t="s">
        <v>394</v>
      </c>
      <c r="D11" s="10" t="s">
        <v>51</v>
      </c>
      <c r="E11" s="122" t="s">
        <v>52</v>
      </c>
      <c r="F11" s="122" t="s">
        <v>46</v>
      </c>
      <c r="G11" s="123">
        <v>500</v>
      </c>
      <c r="H11" s="124">
        <v>0</v>
      </c>
      <c r="I11" s="125">
        <v>124</v>
      </c>
      <c r="J11" s="124">
        <f t="shared" si="0"/>
        <v>0</v>
      </c>
      <c r="K11" s="46">
        <f t="shared" si="1"/>
        <v>62000</v>
      </c>
      <c r="L11" s="402"/>
      <c r="M11" s="403"/>
    </row>
    <row r="12" spans="1:13" ht="54.95" customHeight="1">
      <c r="A12" s="189" t="s">
        <v>504</v>
      </c>
      <c r="B12" s="47">
        <v>6</v>
      </c>
      <c r="C12" s="14" t="s">
        <v>394</v>
      </c>
      <c r="D12" s="15" t="s">
        <v>53</v>
      </c>
      <c r="E12" s="144" t="s">
        <v>54</v>
      </c>
      <c r="F12" s="144" t="s">
        <v>46</v>
      </c>
      <c r="G12" s="145">
        <v>300</v>
      </c>
      <c r="H12" s="146">
        <v>0</v>
      </c>
      <c r="I12" s="147">
        <v>165</v>
      </c>
      <c r="J12" s="146">
        <f t="shared" si="0"/>
        <v>0</v>
      </c>
      <c r="K12" s="48">
        <f t="shared" si="1"/>
        <v>49500</v>
      </c>
      <c r="L12" s="393" t="s">
        <v>402</v>
      </c>
      <c r="M12" s="404"/>
    </row>
    <row r="13" spans="1:13" ht="54.95" customHeight="1">
      <c r="A13" s="189" t="s">
        <v>504</v>
      </c>
      <c r="B13" s="45">
        <v>7</v>
      </c>
      <c r="C13" s="9" t="s">
        <v>394</v>
      </c>
      <c r="D13" s="10" t="s">
        <v>55</v>
      </c>
      <c r="E13" s="122" t="s">
        <v>54</v>
      </c>
      <c r="F13" s="122" t="s">
        <v>46</v>
      </c>
      <c r="G13" s="123">
        <v>150</v>
      </c>
      <c r="H13" s="124">
        <v>0</v>
      </c>
      <c r="I13" s="125">
        <v>208</v>
      </c>
      <c r="J13" s="124">
        <f t="shared" si="0"/>
        <v>0</v>
      </c>
      <c r="K13" s="46">
        <f t="shared" si="1"/>
        <v>31200</v>
      </c>
      <c r="L13" s="393" t="s">
        <v>403</v>
      </c>
      <c r="M13" s="404"/>
    </row>
    <row r="14" spans="1:13" ht="54.95" customHeight="1">
      <c r="A14" s="189" t="s">
        <v>504</v>
      </c>
      <c r="B14" s="47">
        <v>8</v>
      </c>
      <c r="C14" s="14" t="s">
        <v>394</v>
      </c>
      <c r="D14" s="15" t="s">
        <v>56</v>
      </c>
      <c r="E14" s="144" t="s">
        <v>54</v>
      </c>
      <c r="F14" s="144" t="s">
        <v>46</v>
      </c>
      <c r="G14" s="145">
        <v>400</v>
      </c>
      <c r="H14" s="146">
        <v>0</v>
      </c>
      <c r="I14" s="147">
        <v>273</v>
      </c>
      <c r="J14" s="146">
        <f t="shared" si="0"/>
        <v>0</v>
      </c>
      <c r="K14" s="48">
        <f t="shared" si="1"/>
        <v>109200</v>
      </c>
      <c r="L14" s="393" t="s">
        <v>403</v>
      </c>
      <c r="M14" s="404"/>
    </row>
    <row r="15" spans="1:13" ht="54.95" customHeight="1">
      <c r="A15" s="189" t="s">
        <v>504</v>
      </c>
      <c r="B15" s="45">
        <v>9</v>
      </c>
      <c r="C15" s="9" t="s">
        <v>395</v>
      </c>
      <c r="D15" s="10" t="s">
        <v>57</v>
      </c>
      <c r="E15" s="122" t="s">
        <v>58</v>
      </c>
      <c r="F15" s="122" t="s">
        <v>59</v>
      </c>
      <c r="G15" s="123">
        <v>2</v>
      </c>
      <c r="H15" s="124">
        <v>0</v>
      </c>
      <c r="I15" s="125">
        <v>531.42999999999995</v>
      </c>
      <c r="J15" s="124">
        <f t="shared" si="0"/>
        <v>0</v>
      </c>
      <c r="K15" s="46">
        <f t="shared" si="1"/>
        <v>1062.8599999999999</v>
      </c>
      <c r="L15" s="405" t="s">
        <v>404</v>
      </c>
      <c r="M15" s="406"/>
    </row>
    <row r="16" spans="1:13" ht="54.95" customHeight="1">
      <c r="A16" s="189" t="s">
        <v>504</v>
      </c>
      <c r="B16" s="47">
        <v>10</v>
      </c>
      <c r="C16" s="14" t="s">
        <v>395</v>
      </c>
      <c r="D16" s="15" t="s">
        <v>60</v>
      </c>
      <c r="E16" s="144" t="s">
        <v>50</v>
      </c>
      <c r="F16" s="144" t="s">
        <v>59</v>
      </c>
      <c r="G16" s="145">
        <v>3</v>
      </c>
      <c r="H16" s="146">
        <v>0</v>
      </c>
      <c r="I16" s="147">
        <v>1280.19</v>
      </c>
      <c r="J16" s="146">
        <f t="shared" si="0"/>
        <v>0</v>
      </c>
      <c r="K16" s="48">
        <f t="shared" si="1"/>
        <v>3840.57</v>
      </c>
      <c r="L16" s="392" t="s">
        <v>405</v>
      </c>
      <c r="M16" s="393"/>
    </row>
    <row r="17" spans="1:13" ht="54.95" customHeight="1">
      <c r="A17" s="189" t="s">
        <v>504</v>
      </c>
      <c r="B17" s="45">
        <v>11</v>
      </c>
      <c r="C17" s="9" t="s">
        <v>396</v>
      </c>
      <c r="D17" s="10" t="s">
        <v>61</v>
      </c>
      <c r="E17" s="122" t="s">
        <v>58</v>
      </c>
      <c r="F17" s="122" t="s">
        <v>59</v>
      </c>
      <c r="G17" s="123">
        <v>2</v>
      </c>
      <c r="H17" s="124">
        <v>0</v>
      </c>
      <c r="I17" s="125">
        <v>223.85</v>
      </c>
      <c r="J17" s="124">
        <f t="shared" si="0"/>
        <v>0</v>
      </c>
      <c r="K17" s="46">
        <f t="shared" si="1"/>
        <v>447.7</v>
      </c>
      <c r="L17" s="407" t="s">
        <v>406</v>
      </c>
      <c r="M17" s="408"/>
    </row>
    <row r="18" spans="1:13" ht="54.95" customHeight="1">
      <c r="A18" s="189" t="s">
        <v>504</v>
      </c>
      <c r="B18" s="47">
        <v>12</v>
      </c>
      <c r="C18" s="14" t="s">
        <v>396</v>
      </c>
      <c r="D18" s="15" t="s">
        <v>62</v>
      </c>
      <c r="E18" s="144" t="s">
        <v>50</v>
      </c>
      <c r="F18" s="144" t="s">
        <v>59</v>
      </c>
      <c r="G18" s="145">
        <v>2</v>
      </c>
      <c r="H18" s="146">
        <v>0</v>
      </c>
      <c r="I18" s="147">
        <v>1767.8</v>
      </c>
      <c r="J18" s="146">
        <f t="shared" si="0"/>
        <v>0</v>
      </c>
      <c r="K18" s="48">
        <f t="shared" si="1"/>
        <v>3535.6</v>
      </c>
      <c r="L18" s="405"/>
      <c r="M18" s="406"/>
    </row>
    <row r="19" spans="1:13" ht="54.95" customHeight="1">
      <c r="A19" s="189" t="s">
        <v>504</v>
      </c>
      <c r="B19" s="45">
        <v>13</v>
      </c>
      <c r="C19" s="9" t="s">
        <v>396</v>
      </c>
      <c r="D19" s="10" t="s">
        <v>63</v>
      </c>
      <c r="E19" s="122" t="s">
        <v>54</v>
      </c>
      <c r="F19" s="122" t="s">
        <v>59</v>
      </c>
      <c r="G19" s="123">
        <v>2</v>
      </c>
      <c r="H19" s="124">
        <v>0</v>
      </c>
      <c r="I19" s="125">
        <v>6185.32</v>
      </c>
      <c r="J19" s="124">
        <f t="shared" si="0"/>
        <v>0</v>
      </c>
      <c r="K19" s="46">
        <f t="shared" si="1"/>
        <v>12370.64</v>
      </c>
      <c r="L19" s="393" t="s">
        <v>407</v>
      </c>
      <c r="M19" s="404"/>
    </row>
    <row r="20" spans="1:13" ht="54.95" customHeight="1">
      <c r="A20" s="189" t="s">
        <v>504</v>
      </c>
      <c r="B20" s="98">
        <v>14</v>
      </c>
      <c r="C20" s="19" t="s">
        <v>396</v>
      </c>
      <c r="D20" s="20" t="s">
        <v>64</v>
      </c>
      <c r="E20" s="166" t="s">
        <v>54</v>
      </c>
      <c r="F20" s="166" t="s">
        <v>59</v>
      </c>
      <c r="G20" s="167">
        <v>2</v>
      </c>
      <c r="H20" s="168">
        <v>0</v>
      </c>
      <c r="I20" s="169">
        <v>9292.1299999999992</v>
      </c>
      <c r="J20" s="168">
        <f t="shared" si="0"/>
        <v>0</v>
      </c>
      <c r="K20" s="99">
        <f t="shared" si="1"/>
        <v>18584.259999999998</v>
      </c>
      <c r="L20" s="409" t="s">
        <v>408</v>
      </c>
      <c r="M20" s="410"/>
    </row>
    <row r="21" spans="1:13" ht="54.95" customHeight="1">
      <c r="A21" s="189" t="s">
        <v>504</v>
      </c>
      <c r="B21" s="98">
        <v>15</v>
      </c>
      <c r="C21" s="19" t="s">
        <v>396</v>
      </c>
      <c r="D21" s="20" t="s">
        <v>65</v>
      </c>
      <c r="E21" s="166" t="s">
        <v>54</v>
      </c>
      <c r="F21" s="166" t="s">
        <v>59</v>
      </c>
      <c r="G21" s="167">
        <v>4</v>
      </c>
      <c r="H21" s="168">
        <v>0</v>
      </c>
      <c r="I21" s="169">
        <v>14069.71</v>
      </c>
      <c r="J21" s="168">
        <f t="shared" si="0"/>
        <v>0</v>
      </c>
      <c r="K21" s="99">
        <f t="shared" si="1"/>
        <v>56278.84</v>
      </c>
      <c r="L21" s="409" t="s">
        <v>409</v>
      </c>
      <c r="M21" s="410"/>
    </row>
    <row r="22" spans="1:13" ht="54.95" customHeight="1">
      <c r="A22" s="189" t="s">
        <v>504</v>
      </c>
      <c r="B22" s="47">
        <v>16</v>
      </c>
      <c r="C22" s="14" t="s">
        <v>397</v>
      </c>
      <c r="D22" s="15" t="s">
        <v>66</v>
      </c>
      <c r="E22" s="144" t="s">
        <v>45</v>
      </c>
      <c r="F22" s="144" t="s">
        <v>59</v>
      </c>
      <c r="G22" s="145">
        <v>1</v>
      </c>
      <c r="H22" s="146">
        <v>0</v>
      </c>
      <c r="I22" s="147">
        <v>5371.23</v>
      </c>
      <c r="J22" s="146">
        <f t="shared" si="0"/>
        <v>0</v>
      </c>
      <c r="K22" s="48">
        <f t="shared" si="1"/>
        <v>5371.23</v>
      </c>
      <c r="L22" s="411" t="s">
        <v>410</v>
      </c>
      <c r="M22" s="412"/>
    </row>
    <row r="23" spans="1:13" ht="54.95" customHeight="1">
      <c r="A23" s="189" t="s">
        <v>504</v>
      </c>
      <c r="B23" s="45">
        <v>17</v>
      </c>
      <c r="C23" s="9" t="s">
        <v>397</v>
      </c>
      <c r="D23" s="10" t="s">
        <v>67</v>
      </c>
      <c r="E23" s="122" t="s">
        <v>45</v>
      </c>
      <c r="F23" s="122" t="s">
        <v>59</v>
      </c>
      <c r="G23" s="123">
        <v>1</v>
      </c>
      <c r="H23" s="124">
        <v>0</v>
      </c>
      <c r="I23" s="125">
        <v>887.32</v>
      </c>
      <c r="J23" s="124">
        <f t="shared" si="0"/>
        <v>0</v>
      </c>
      <c r="K23" s="46">
        <f t="shared" si="1"/>
        <v>887.32</v>
      </c>
      <c r="L23" s="411" t="s">
        <v>411</v>
      </c>
      <c r="M23" s="412"/>
    </row>
    <row r="24" spans="1:13" ht="54.95" customHeight="1">
      <c r="A24" s="189" t="s">
        <v>504</v>
      </c>
      <c r="B24" s="47">
        <v>18</v>
      </c>
      <c r="C24" s="14" t="s">
        <v>398</v>
      </c>
      <c r="D24" s="15" t="s">
        <v>68</v>
      </c>
      <c r="E24" s="144" t="s">
        <v>45</v>
      </c>
      <c r="F24" s="144" t="s">
        <v>59</v>
      </c>
      <c r="G24" s="145">
        <v>1</v>
      </c>
      <c r="H24" s="146">
        <v>0</v>
      </c>
      <c r="I24" s="147">
        <v>6446.8</v>
      </c>
      <c r="J24" s="146">
        <f t="shared" si="0"/>
        <v>0</v>
      </c>
      <c r="K24" s="48">
        <f t="shared" si="1"/>
        <v>6446.8</v>
      </c>
      <c r="L24" s="392" t="s">
        <v>412</v>
      </c>
      <c r="M24" s="393"/>
    </row>
    <row r="25" spans="1:13" ht="54.95" customHeight="1">
      <c r="A25" s="189" t="s">
        <v>504</v>
      </c>
      <c r="B25" s="45">
        <v>19</v>
      </c>
      <c r="C25" s="9" t="s">
        <v>398</v>
      </c>
      <c r="D25" s="10" t="s">
        <v>69</v>
      </c>
      <c r="E25" s="122" t="s">
        <v>54</v>
      </c>
      <c r="F25" s="122" t="s">
        <v>59</v>
      </c>
      <c r="G25" s="123">
        <v>2</v>
      </c>
      <c r="H25" s="124">
        <v>0</v>
      </c>
      <c r="I25" s="125">
        <v>14819.15</v>
      </c>
      <c r="J25" s="124">
        <f t="shared" si="0"/>
        <v>0</v>
      </c>
      <c r="K25" s="46">
        <f t="shared" si="1"/>
        <v>29638.3</v>
      </c>
      <c r="L25" s="392" t="s">
        <v>413</v>
      </c>
      <c r="M25" s="393"/>
    </row>
    <row r="26" spans="1:13" ht="54.95" customHeight="1">
      <c r="A26" s="189" t="s">
        <v>504</v>
      </c>
      <c r="B26" s="47">
        <v>20</v>
      </c>
      <c r="C26" s="14" t="s">
        <v>398</v>
      </c>
      <c r="D26" s="15" t="s">
        <v>70</v>
      </c>
      <c r="E26" s="144" t="s">
        <v>54</v>
      </c>
      <c r="F26" s="144" t="s">
        <v>59</v>
      </c>
      <c r="G26" s="145">
        <v>2</v>
      </c>
      <c r="H26" s="146">
        <v>0</v>
      </c>
      <c r="I26" s="147">
        <v>10103.790000000001</v>
      </c>
      <c r="J26" s="146">
        <f t="shared" si="0"/>
        <v>0</v>
      </c>
      <c r="K26" s="48">
        <f t="shared" si="1"/>
        <v>20207.580000000002</v>
      </c>
      <c r="L26" s="392" t="s">
        <v>414</v>
      </c>
      <c r="M26" s="393"/>
    </row>
    <row r="27" spans="1:13" ht="54.95" customHeight="1">
      <c r="A27" s="189" t="s">
        <v>504</v>
      </c>
      <c r="B27" s="45">
        <v>21</v>
      </c>
      <c r="C27" s="9" t="s">
        <v>399</v>
      </c>
      <c r="D27" s="10" t="s">
        <v>71</v>
      </c>
      <c r="E27" s="122" t="s">
        <v>54</v>
      </c>
      <c r="F27" s="122" t="s">
        <v>59</v>
      </c>
      <c r="G27" s="123">
        <v>1</v>
      </c>
      <c r="H27" s="124">
        <v>0</v>
      </c>
      <c r="I27" s="125">
        <v>19896.18</v>
      </c>
      <c r="J27" s="124">
        <f t="shared" si="0"/>
        <v>0</v>
      </c>
      <c r="K27" s="46">
        <f t="shared" si="1"/>
        <v>19896.18</v>
      </c>
      <c r="L27" s="392" t="s">
        <v>415</v>
      </c>
      <c r="M27" s="393"/>
    </row>
    <row r="28" spans="1:13" ht="54.95" customHeight="1">
      <c r="A28" s="189" t="s">
        <v>504</v>
      </c>
      <c r="B28" s="47">
        <v>22</v>
      </c>
      <c r="C28" s="14" t="s">
        <v>400</v>
      </c>
      <c r="D28" s="15" t="s">
        <v>72</v>
      </c>
      <c r="E28" s="144" t="s">
        <v>73</v>
      </c>
      <c r="F28" s="144" t="s">
        <v>74</v>
      </c>
      <c r="G28" s="145">
        <v>1</v>
      </c>
      <c r="H28" s="146">
        <v>0</v>
      </c>
      <c r="I28" s="147">
        <v>150000</v>
      </c>
      <c r="J28" s="146">
        <f t="shared" si="0"/>
        <v>0</v>
      </c>
      <c r="K28" s="48">
        <f t="shared" si="1"/>
        <v>150000</v>
      </c>
      <c r="L28" s="394" t="s">
        <v>503</v>
      </c>
      <c r="M28" s="393"/>
    </row>
    <row r="29" spans="1:13" ht="53.25" customHeight="1" thickBot="1">
      <c r="A29" s="207"/>
      <c r="B29" s="208"/>
      <c r="C29" s="209"/>
      <c r="D29" s="380" t="s">
        <v>75</v>
      </c>
      <c r="E29" s="380"/>
      <c r="F29" s="380"/>
      <c r="G29" s="210">
        <f>SUM(G7:G28)</f>
        <v>1766</v>
      </c>
      <c r="H29" s="86"/>
      <c r="I29" s="211"/>
      <c r="J29" s="210">
        <f>SUM(J7:J28)</f>
        <v>0</v>
      </c>
      <c r="K29" s="212">
        <f>SUM(K7:K28)</f>
        <v>600867.87999999989</v>
      </c>
      <c r="L29" s="35"/>
      <c r="M29" s="162"/>
    </row>
    <row r="30" spans="1:13" ht="69.95" customHeight="1" thickBot="1">
      <c r="A30" s="137"/>
      <c r="B30" s="378" t="s">
        <v>76</v>
      </c>
      <c r="C30" s="378"/>
      <c r="D30" s="378"/>
      <c r="E30" s="378"/>
      <c r="F30" s="378"/>
      <c r="G30" s="378"/>
      <c r="H30" s="378"/>
      <c r="I30" s="378"/>
      <c r="J30" s="378"/>
      <c r="K30" s="379"/>
      <c r="L30" s="138"/>
      <c r="M30" s="139"/>
    </row>
    <row r="31" spans="1:13" ht="27.95" customHeight="1">
      <c r="A31" s="190" t="s">
        <v>506</v>
      </c>
      <c r="B31" s="43" t="s">
        <v>35</v>
      </c>
      <c r="C31" s="149" t="s">
        <v>393</v>
      </c>
      <c r="D31" s="149" t="s">
        <v>523</v>
      </c>
      <c r="E31" s="149" t="s">
        <v>37</v>
      </c>
      <c r="F31" s="149" t="s">
        <v>38</v>
      </c>
      <c r="G31" s="149" t="s">
        <v>39</v>
      </c>
      <c r="H31" s="149" t="s">
        <v>40</v>
      </c>
      <c r="I31" s="149" t="s">
        <v>41</v>
      </c>
      <c r="J31" s="149" t="s">
        <v>42</v>
      </c>
      <c r="K31" s="150" t="s">
        <v>43</v>
      </c>
      <c r="L31" s="386" t="s">
        <v>480</v>
      </c>
      <c r="M31" s="387"/>
    </row>
    <row r="32" spans="1:13" ht="54.95" customHeight="1">
      <c r="A32" s="191" t="s">
        <v>505</v>
      </c>
      <c r="B32" s="47">
        <v>1</v>
      </c>
      <c r="C32" s="157" t="s">
        <v>394</v>
      </c>
      <c r="D32" s="15" t="s">
        <v>48</v>
      </c>
      <c r="E32" s="144" t="s">
        <v>45</v>
      </c>
      <c r="F32" s="144" t="s">
        <v>46</v>
      </c>
      <c r="G32" s="145">
        <v>60</v>
      </c>
      <c r="H32" s="146">
        <v>0</v>
      </c>
      <c r="I32" s="147">
        <v>91</v>
      </c>
      <c r="J32" s="146">
        <f t="shared" ref="J32:J70" si="2">G32*H32</f>
        <v>0</v>
      </c>
      <c r="K32" s="48">
        <f t="shared" ref="K32:K70" si="3">G32*I32</f>
        <v>5460</v>
      </c>
      <c r="L32" s="384" t="s">
        <v>488</v>
      </c>
      <c r="M32" s="385"/>
    </row>
    <row r="33" spans="1:13" ht="54.95" customHeight="1">
      <c r="A33" s="191" t="s">
        <v>505</v>
      </c>
      <c r="B33" s="45">
        <v>2</v>
      </c>
      <c r="C33" s="157" t="s">
        <v>394</v>
      </c>
      <c r="D33" s="10" t="s">
        <v>44</v>
      </c>
      <c r="E33" s="122" t="s">
        <v>45</v>
      </c>
      <c r="F33" s="122" t="s">
        <v>46</v>
      </c>
      <c r="G33" s="123">
        <v>48</v>
      </c>
      <c r="H33" s="124">
        <v>0</v>
      </c>
      <c r="I33" s="125">
        <v>44</v>
      </c>
      <c r="J33" s="124">
        <f t="shared" si="2"/>
        <v>0</v>
      </c>
      <c r="K33" s="46">
        <f t="shared" si="3"/>
        <v>2112</v>
      </c>
      <c r="L33" s="384"/>
      <c r="M33" s="385"/>
    </row>
    <row r="34" spans="1:13" ht="54.95" customHeight="1">
      <c r="A34" s="191" t="s">
        <v>505</v>
      </c>
      <c r="B34" s="47">
        <v>3</v>
      </c>
      <c r="C34" s="157" t="s">
        <v>394</v>
      </c>
      <c r="D34" s="15" t="s">
        <v>47</v>
      </c>
      <c r="E34" s="144" t="s">
        <v>45</v>
      </c>
      <c r="F34" s="144" t="s">
        <v>46</v>
      </c>
      <c r="G34" s="145">
        <v>24</v>
      </c>
      <c r="H34" s="146">
        <v>0</v>
      </c>
      <c r="I34" s="147">
        <v>77.5</v>
      </c>
      <c r="J34" s="146">
        <f t="shared" si="2"/>
        <v>0</v>
      </c>
      <c r="K34" s="48">
        <f t="shared" si="3"/>
        <v>1860</v>
      </c>
      <c r="L34" s="384"/>
      <c r="M34" s="385"/>
    </row>
    <row r="35" spans="1:13" ht="54.95" customHeight="1">
      <c r="A35" s="191" t="s">
        <v>505</v>
      </c>
      <c r="B35" s="45">
        <v>4</v>
      </c>
      <c r="C35" s="157" t="s">
        <v>394</v>
      </c>
      <c r="D35" s="10" t="s">
        <v>49</v>
      </c>
      <c r="E35" s="122" t="s">
        <v>50</v>
      </c>
      <c r="F35" s="122" t="s">
        <v>46</v>
      </c>
      <c r="G35" s="123">
        <v>200</v>
      </c>
      <c r="H35" s="124">
        <v>0</v>
      </c>
      <c r="I35" s="125">
        <v>80</v>
      </c>
      <c r="J35" s="124">
        <f t="shared" si="2"/>
        <v>0</v>
      </c>
      <c r="K35" s="46">
        <f t="shared" si="3"/>
        <v>16000</v>
      </c>
      <c r="L35" s="384"/>
      <c r="M35" s="385"/>
    </row>
    <row r="36" spans="1:13" ht="54.95" customHeight="1">
      <c r="A36" s="191" t="s">
        <v>505</v>
      </c>
      <c r="B36" s="47">
        <v>5</v>
      </c>
      <c r="C36" s="157" t="s">
        <v>394</v>
      </c>
      <c r="D36" s="15" t="s">
        <v>77</v>
      </c>
      <c r="E36" s="144" t="s">
        <v>54</v>
      </c>
      <c r="F36" s="144" t="s">
        <v>46</v>
      </c>
      <c r="G36" s="145">
        <v>1600</v>
      </c>
      <c r="H36" s="146">
        <v>0</v>
      </c>
      <c r="I36" s="147">
        <v>100</v>
      </c>
      <c r="J36" s="146">
        <f t="shared" si="2"/>
        <v>0</v>
      </c>
      <c r="K36" s="48">
        <f t="shared" si="3"/>
        <v>160000</v>
      </c>
      <c r="L36" s="384"/>
      <c r="M36" s="385"/>
    </row>
    <row r="37" spans="1:13" ht="54.95" customHeight="1">
      <c r="A37" s="191" t="s">
        <v>505</v>
      </c>
      <c r="B37" s="45">
        <v>6</v>
      </c>
      <c r="C37" s="157" t="s">
        <v>394</v>
      </c>
      <c r="D37" s="10" t="s">
        <v>51</v>
      </c>
      <c r="E37" s="122" t="s">
        <v>52</v>
      </c>
      <c r="F37" s="122" t="s">
        <v>46</v>
      </c>
      <c r="G37" s="123">
        <v>36</v>
      </c>
      <c r="H37" s="124">
        <v>0</v>
      </c>
      <c r="I37" s="125">
        <v>110</v>
      </c>
      <c r="J37" s="124">
        <f t="shared" si="2"/>
        <v>0</v>
      </c>
      <c r="K37" s="46">
        <f t="shared" si="3"/>
        <v>3960</v>
      </c>
      <c r="L37" s="384"/>
      <c r="M37" s="385"/>
    </row>
    <row r="38" spans="1:13" ht="54.95" customHeight="1">
      <c r="A38" s="191" t="s">
        <v>505</v>
      </c>
      <c r="B38" s="47">
        <v>7</v>
      </c>
      <c r="C38" s="157" t="s">
        <v>394</v>
      </c>
      <c r="D38" s="15" t="s">
        <v>78</v>
      </c>
      <c r="E38" s="144" t="s">
        <v>79</v>
      </c>
      <c r="F38" s="144" t="s">
        <v>46</v>
      </c>
      <c r="G38" s="145">
        <v>200</v>
      </c>
      <c r="H38" s="146">
        <v>0</v>
      </c>
      <c r="I38" s="147">
        <v>145</v>
      </c>
      <c r="J38" s="146">
        <f t="shared" si="2"/>
        <v>0</v>
      </c>
      <c r="K38" s="48">
        <f t="shared" si="3"/>
        <v>29000</v>
      </c>
      <c r="L38" s="384"/>
      <c r="M38" s="385"/>
    </row>
    <row r="39" spans="1:13" ht="54.95" customHeight="1">
      <c r="A39" s="191" t="s">
        <v>505</v>
      </c>
      <c r="B39" s="45">
        <v>8</v>
      </c>
      <c r="C39" s="157" t="s">
        <v>394</v>
      </c>
      <c r="D39" s="10" t="s">
        <v>80</v>
      </c>
      <c r="E39" s="122" t="s">
        <v>81</v>
      </c>
      <c r="F39" s="122" t="s">
        <v>46</v>
      </c>
      <c r="G39" s="123">
        <v>450</v>
      </c>
      <c r="H39" s="124">
        <v>0</v>
      </c>
      <c r="I39" s="125">
        <v>220</v>
      </c>
      <c r="J39" s="124">
        <f t="shared" si="2"/>
        <v>0</v>
      </c>
      <c r="K39" s="46">
        <f t="shared" si="3"/>
        <v>99000</v>
      </c>
      <c r="L39" s="384" t="s">
        <v>489</v>
      </c>
      <c r="M39" s="385"/>
    </row>
    <row r="40" spans="1:13" ht="54.95" customHeight="1">
      <c r="A40" s="191" t="s">
        <v>505</v>
      </c>
      <c r="B40" s="47">
        <v>9</v>
      </c>
      <c r="C40" s="157" t="s">
        <v>394</v>
      </c>
      <c r="D40" s="15" t="s">
        <v>82</v>
      </c>
      <c r="E40" s="144" t="s">
        <v>54</v>
      </c>
      <c r="F40" s="144" t="s">
        <v>46</v>
      </c>
      <c r="G40" s="145">
        <v>90</v>
      </c>
      <c r="H40" s="146">
        <v>0</v>
      </c>
      <c r="I40" s="147">
        <v>170</v>
      </c>
      <c r="J40" s="146">
        <f t="shared" si="2"/>
        <v>0</v>
      </c>
      <c r="K40" s="48">
        <f t="shared" si="3"/>
        <v>15300</v>
      </c>
      <c r="L40" s="384" t="s">
        <v>490</v>
      </c>
      <c r="M40" s="385"/>
    </row>
    <row r="41" spans="1:13" ht="54.95" customHeight="1">
      <c r="A41" s="191" t="s">
        <v>505</v>
      </c>
      <c r="B41" s="45">
        <v>10</v>
      </c>
      <c r="C41" s="157" t="s">
        <v>394</v>
      </c>
      <c r="D41" s="10" t="s">
        <v>83</v>
      </c>
      <c r="E41" s="122" t="s">
        <v>52</v>
      </c>
      <c r="F41" s="122" t="s">
        <v>46</v>
      </c>
      <c r="G41" s="123">
        <v>12</v>
      </c>
      <c r="H41" s="124">
        <v>0</v>
      </c>
      <c r="I41" s="125">
        <v>192</v>
      </c>
      <c r="J41" s="124">
        <f t="shared" si="2"/>
        <v>0</v>
      </c>
      <c r="K41" s="46">
        <f t="shared" si="3"/>
        <v>2304</v>
      </c>
      <c r="L41" s="384"/>
      <c r="M41" s="385"/>
    </row>
    <row r="42" spans="1:13" ht="54.95" customHeight="1">
      <c r="A42" s="191" t="s">
        <v>505</v>
      </c>
      <c r="B42" s="47">
        <v>11</v>
      </c>
      <c r="C42" s="157" t="s">
        <v>394</v>
      </c>
      <c r="D42" s="15" t="s">
        <v>84</v>
      </c>
      <c r="E42" s="144" t="s">
        <v>50</v>
      </c>
      <c r="F42" s="144" t="s">
        <v>46</v>
      </c>
      <c r="G42" s="145">
        <v>200</v>
      </c>
      <c r="H42" s="146">
        <v>0</v>
      </c>
      <c r="I42" s="147">
        <v>160</v>
      </c>
      <c r="J42" s="146">
        <f t="shared" si="2"/>
        <v>0</v>
      </c>
      <c r="K42" s="48">
        <f t="shared" si="3"/>
        <v>32000</v>
      </c>
      <c r="L42" s="384" t="s">
        <v>491</v>
      </c>
      <c r="M42" s="385"/>
    </row>
    <row r="43" spans="1:13" ht="54.95" customHeight="1">
      <c r="A43" s="191" t="s">
        <v>505</v>
      </c>
      <c r="B43" s="45">
        <v>12</v>
      </c>
      <c r="C43" s="157" t="s">
        <v>394</v>
      </c>
      <c r="D43" s="10" t="s">
        <v>85</v>
      </c>
      <c r="E43" s="122" t="s">
        <v>54</v>
      </c>
      <c r="F43" s="122" t="s">
        <v>46</v>
      </c>
      <c r="G43" s="123">
        <v>600</v>
      </c>
      <c r="H43" s="124">
        <v>0</v>
      </c>
      <c r="I43" s="125">
        <v>190</v>
      </c>
      <c r="J43" s="124">
        <f t="shared" si="2"/>
        <v>0</v>
      </c>
      <c r="K43" s="46">
        <f t="shared" si="3"/>
        <v>114000</v>
      </c>
      <c r="L43" s="384"/>
      <c r="M43" s="385"/>
    </row>
    <row r="44" spans="1:13" ht="54.95" customHeight="1">
      <c r="A44" s="191" t="s">
        <v>505</v>
      </c>
      <c r="B44" s="47">
        <v>13</v>
      </c>
      <c r="C44" s="157" t="s">
        <v>395</v>
      </c>
      <c r="D44" s="15" t="s">
        <v>86</v>
      </c>
      <c r="E44" s="144" t="s">
        <v>58</v>
      </c>
      <c r="F44" s="144" t="s">
        <v>59</v>
      </c>
      <c r="G44" s="145">
        <v>11</v>
      </c>
      <c r="H44" s="146">
        <v>0</v>
      </c>
      <c r="I44" s="147">
        <v>550</v>
      </c>
      <c r="J44" s="146">
        <f t="shared" si="2"/>
        <v>0</v>
      </c>
      <c r="K44" s="48">
        <f t="shared" si="3"/>
        <v>6050</v>
      </c>
      <c r="L44" s="388" t="s">
        <v>492</v>
      </c>
      <c r="M44" s="389"/>
    </row>
    <row r="45" spans="1:13" ht="54.95" customHeight="1">
      <c r="A45" s="191" t="s">
        <v>505</v>
      </c>
      <c r="B45" s="45">
        <v>14</v>
      </c>
      <c r="C45" s="157" t="s">
        <v>395</v>
      </c>
      <c r="D45" s="10" t="s">
        <v>87</v>
      </c>
      <c r="E45" s="122" t="s">
        <v>54</v>
      </c>
      <c r="F45" s="122" t="s">
        <v>59</v>
      </c>
      <c r="G45" s="123">
        <v>1</v>
      </c>
      <c r="H45" s="124">
        <v>0</v>
      </c>
      <c r="I45" s="125">
        <v>7000</v>
      </c>
      <c r="J45" s="124">
        <f t="shared" si="2"/>
        <v>0</v>
      </c>
      <c r="K45" s="46">
        <f t="shared" si="3"/>
        <v>7000</v>
      </c>
      <c r="L45" s="384" t="s">
        <v>493</v>
      </c>
      <c r="M45" s="385"/>
    </row>
    <row r="46" spans="1:13" ht="54.95" customHeight="1">
      <c r="A46" s="191" t="s">
        <v>505</v>
      </c>
      <c r="B46" s="47">
        <v>15</v>
      </c>
      <c r="C46" s="157" t="s">
        <v>395</v>
      </c>
      <c r="D46" s="15" t="s">
        <v>88</v>
      </c>
      <c r="E46" s="144" t="s">
        <v>52</v>
      </c>
      <c r="F46" s="144" t="s">
        <v>59</v>
      </c>
      <c r="G46" s="145">
        <v>1</v>
      </c>
      <c r="H46" s="146">
        <v>0</v>
      </c>
      <c r="I46" s="147">
        <v>14000</v>
      </c>
      <c r="J46" s="146">
        <f t="shared" si="2"/>
        <v>0</v>
      </c>
      <c r="K46" s="48">
        <f t="shared" si="3"/>
        <v>14000</v>
      </c>
      <c r="L46" s="384"/>
      <c r="M46" s="385"/>
    </row>
    <row r="47" spans="1:13" ht="54.95" customHeight="1">
      <c r="A47" s="191" t="s">
        <v>505</v>
      </c>
      <c r="B47" s="45">
        <v>16</v>
      </c>
      <c r="C47" s="157" t="s">
        <v>395</v>
      </c>
      <c r="D47" s="10" t="s">
        <v>89</v>
      </c>
      <c r="E47" s="122" t="s">
        <v>58</v>
      </c>
      <c r="F47" s="122" t="s">
        <v>59</v>
      </c>
      <c r="G47" s="123">
        <v>1</v>
      </c>
      <c r="H47" s="124">
        <v>0</v>
      </c>
      <c r="I47" s="125">
        <v>3900</v>
      </c>
      <c r="J47" s="124">
        <f t="shared" si="2"/>
        <v>0</v>
      </c>
      <c r="K47" s="46">
        <f t="shared" si="3"/>
        <v>3900</v>
      </c>
      <c r="L47" s="384" t="s">
        <v>494</v>
      </c>
      <c r="M47" s="385"/>
    </row>
    <row r="48" spans="1:13" ht="54.95" customHeight="1">
      <c r="A48" s="191" t="s">
        <v>505</v>
      </c>
      <c r="B48" s="47">
        <v>17</v>
      </c>
      <c r="C48" s="157" t="s">
        <v>395</v>
      </c>
      <c r="D48" s="15" t="s">
        <v>90</v>
      </c>
      <c r="E48" s="144" t="s">
        <v>54</v>
      </c>
      <c r="F48" s="144" t="s">
        <v>59</v>
      </c>
      <c r="G48" s="145">
        <v>4</v>
      </c>
      <c r="H48" s="146">
        <v>0</v>
      </c>
      <c r="I48" s="147">
        <v>23000</v>
      </c>
      <c r="J48" s="146">
        <f t="shared" si="2"/>
        <v>0</v>
      </c>
      <c r="K48" s="48">
        <f t="shared" si="3"/>
        <v>92000</v>
      </c>
      <c r="L48" s="384"/>
      <c r="M48" s="385"/>
    </row>
    <row r="49" spans="1:13" ht="54.95" customHeight="1">
      <c r="A49" s="191" t="s">
        <v>505</v>
      </c>
      <c r="B49" s="45">
        <v>18</v>
      </c>
      <c r="C49" s="157" t="s">
        <v>396</v>
      </c>
      <c r="D49" s="10" t="s">
        <v>91</v>
      </c>
      <c r="E49" s="122" t="s">
        <v>58</v>
      </c>
      <c r="F49" s="122" t="s">
        <v>59</v>
      </c>
      <c r="G49" s="123">
        <v>4</v>
      </c>
      <c r="H49" s="124">
        <v>0</v>
      </c>
      <c r="I49" s="125">
        <v>224</v>
      </c>
      <c r="J49" s="124">
        <f t="shared" si="2"/>
        <v>0</v>
      </c>
      <c r="K49" s="46">
        <f t="shared" si="3"/>
        <v>896</v>
      </c>
      <c r="L49" s="388" t="s">
        <v>406</v>
      </c>
      <c r="M49" s="389"/>
    </row>
    <row r="50" spans="1:13" ht="54.95" customHeight="1">
      <c r="A50" s="191" t="s">
        <v>505</v>
      </c>
      <c r="B50" s="47">
        <v>19</v>
      </c>
      <c r="C50" s="157" t="s">
        <v>396</v>
      </c>
      <c r="D50" s="15" t="s">
        <v>92</v>
      </c>
      <c r="E50" s="144" t="s">
        <v>50</v>
      </c>
      <c r="F50" s="144" t="s">
        <v>59</v>
      </c>
      <c r="G50" s="145">
        <v>7</v>
      </c>
      <c r="H50" s="146">
        <v>0</v>
      </c>
      <c r="I50" s="147">
        <v>1700</v>
      </c>
      <c r="J50" s="146">
        <f t="shared" si="2"/>
        <v>0</v>
      </c>
      <c r="K50" s="48">
        <f t="shared" si="3"/>
        <v>11900</v>
      </c>
      <c r="L50" s="388"/>
      <c r="M50" s="389"/>
    </row>
    <row r="51" spans="1:13" ht="54.95" customHeight="1">
      <c r="A51" s="191" t="s">
        <v>505</v>
      </c>
      <c r="B51" s="45">
        <v>20</v>
      </c>
      <c r="C51" s="157" t="s">
        <v>396</v>
      </c>
      <c r="D51" s="10" t="s">
        <v>93</v>
      </c>
      <c r="E51" s="122" t="s">
        <v>54</v>
      </c>
      <c r="F51" s="122" t="s">
        <v>59</v>
      </c>
      <c r="G51" s="123">
        <v>6</v>
      </c>
      <c r="H51" s="124">
        <v>0</v>
      </c>
      <c r="I51" s="125">
        <v>1250</v>
      </c>
      <c r="J51" s="124">
        <f t="shared" si="2"/>
        <v>0</v>
      </c>
      <c r="K51" s="46">
        <f t="shared" si="3"/>
        <v>7500</v>
      </c>
      <c r="L51" s="388"/>
      <c r="M51" s="389"/>
    </row>
    <row r="52" spans="1:13" ht="54.95" customHeight="1">
      <c r="A52" s="191" t="s">
        <v>505</v>
      </c>
      <c r="B52" s="47">
        <v>21</v>
      </c>
      <c r="C52" s="157" t="s">
        <v>396</v>
      </c>
      <c r="D52" s="15" t="s">
        <v>94</v>
      </c>
      <c r="E52" s="144" t="s">
        <v>79</v>
      </c>
      <c r="F52" s="144" t="s">
        <v>59</v>
      </c>
      <c r="G52" s="145">
        <v>1</v>
      </c>
      <c r="H52" s="146">
        <v>0</v>
      </c>
      <c r="I52" s="147">
        <v>3600</v>
      </c>
      <c r="J52" s="146">
        <f t="shared" si="2"/>
        <v>0</v>
      </c>
      <c r="K52" s="48">
        <f t="shared" si="3"/>
        <v>3600</v>
      </c>
      <c r="L52" s="388"/>
      <c r="M52" s="389"/>
    </row>
    <row r="53" spans="1:13" ht="54.95" customHeight="1">
      <c r="A53" s="191" t="s">
        <v>505</v>
      </c>
      <c r="B53" s="45">
        <v>22</v>
      </c>
      <c r="C53" s="157" t="s">
        <v>396</v>
      </c>
      <c r="D53" s="10" t="s">
        <v>95</v>
      </c>
      <c r="E53" s="122" t="s">
        <v>81</v>
      </c>
      <c r="F53" s="122" t="s">
        <v>59</v>
      </c>
      <c r="G53" s="123">
        <v>2</v>
      </c>
      <c r="H53" s="124">
        <v>0</v>
      </c>
      <c r="I53" s="125">
        <v>10000</v>
      </c>
      <c r="J53" s="124">
        <f t="shared" si="2"/>
        <v>0</v>
      </c>
      <c r="K53" s="46">
        <f t="shared" si="3"/>
        <v>20000</v>
      </c>
      <c r="L53" s="388"/>
      <c r="M53" s="389"/>
    </row>
    <row r="54" spans="1:13" ht="54.95" customHeight="1">
      <c r="A54" s="191" t="s">
        <v>505</v>
      </c>
      <c r="B54" s="47">
        <v>23</v>
      </c>
      <c r="C54" s="157" t="s">
        <v>396</v>
      </c>
      <c r="D54" s="15" t="s">
        <v>96</v>
      </c>
      <c r="E54" s="144" t="s">
        <v>50</v>
      </c>
      <c r="F54" s="144" t="s">
        <v>59</v>
      </c>
      <c r="G54" s="145">
        <v>1</v>
      </c>
      <c r="H54" s="146">
        <v>0</v>
      </c>
      <c r="I54" s="147">
        <v>3000</v>
      </c>
      <c r="J54" s="146">
        <f t="shared" si="2"/>
        <v>0</v>
      </c>
      <c r="K54" s="48">
        <f t="shared" si="3"/>
        <v>3000</v>
      </c>
      <c r="L54" s="384" t="s">
        <v>495</v>
      </c>
      <c r="M54" s="385"/>
    </row>
    <row r="55" spans="1:13" ht="54.95" customHeight="1">
      <c r="A55" s="191" t="s">
        <v>505</v>
      </c>
      <c r="B55" s="45">
        <v>24</v>
      </c>
      <c r="C55" s="157" t="s">
        <v>396</v>
      </c>
      <c r="D55" s="10" t="s">
        <v>97</v>
      </c>
      <c r="E55" s="122" t="s">
        <v>54</v>
      </c>
      <c r="F55" s="122" t="s">
        <v>59</v>
      </c>
      <c r="G55" s="123">
        <v>1</v>
      </c>
      <c r="H55" s="124">
        <v>0</v>
      </c>
      <c r="I55" s="125">
        <v>6500</v>
      </c>
      <c r="J55" s="124">
        <f t="shared" si="2"/>
        <v>0</v>
      </c>
      <c r="K55" s="46">
        <f t="shared" si="3"/>
        <v>6500</v>
      </c>
      <c r="L55" s="384"/>
      <c r="M55" s="385"/>
    </row>
    <row r="56" spans="1:13" ht="54.95" customHeight="1">
      <c r="A56" s="191" t="s">
        <v>505</v>
      </c>
      <c r="B56" s="47">
        <v>25</v>
      </c>
      <c r="C56" s="157" t="s">
        <v>396</v>
      </c>
      <c r="D56" s="15" t="s">
        <v>98</v>
      </c>
      <c r="E56" s="144" t="s">
        <v>50</v>
      </c>
      <c r="F56" s="144" t="s">
        <v>59</v>
      </c>
      <c r="G56" s="145">
        <v>2</v>
      </c>
      <c r="H56" s="146">
        <v>0</v>
      </c>
      <c r="I56" s="147">
        <v>4300</v>
      </c>
      <c r="J56" s="146">
        <f t="shared" si="2"/>
        <v>0</v>
      </c>
      <c r="K56" s="48">
        <f t="shared" si="3"/>
        <v>8600</v>
      </c>
      <c r="L56" s="384" t="s">
        <v>408</v>
      </c>
      <c r="M56" s="385"/>
    </row>
    <row r="57" spans="1:13" ht="54.95" customHeight="1">
      <c r="A57" s="191" t="s">
        <v>505</v>
      </c>
      <c r="B57" s="45">
        <v>26</v>
      </c>
      <c r="C57" s="157" t="s">
        <v>396</v>
      </c>
      <c r="D57" s="10" t="s">
        <v>99</v>
      </c>
      <c r="E57" s="122" t="s">
        <v>54</v>
      </c>
      <c r="F57" s="122" t="s">
        <v>59</v>
      </c>
      <c r="G57" s="123">
        <v>5</v>
      </c>
      <c r="H57" s="124">
        <v>0</v>
      </c>
      <c r="I57" s="125">
        <v>7000</v>
      </c>
      <c r="J57" s="124">
        <f t="shared" si="2"/>
        <v>0</v>
      </c>
      <c r="K57" s="46">
        <f t="shared" si="3"/>
        <v>35000</v>
      </c>
      <c r="L57" s="384"/>
      <c r="M57" s="385"/>
    </row>
    <row r="58" spans="1:13" ht="54.95" customHeight="1">
      <c r="A58" s="191" t="s">
        <v>505</v>
      </c>
      <c r="B58" s="47">
        <v>27</v>
      </c>
      <c r="C58" s="157" t="s">
        <v>398</v>
      </c>
      <c r="D58" s="15" t="s">
        <v>100</v>
      </c>
      <c r="E58" s="144" t="s">
        <v>58</v>
      </c>
      <c r="F58" s="144" t="s">
        <v>59</v>
      </c>
      <c r="G58" s="145">
        <v>3</v>
      </c>
      <c r="H58" s="146">
        <v>0</v>
      </c>
      <c r="I58" s="147">
        <v>805</v>
      </c>
      <c r="J58" s="146">
        <f t="shared" si="2"/>
        <v>0</v>
      </c>
      <c r="K58" s="48">
        <f t="shared" si="3"/>
        <v>2415</v>
      </c>
      <c r="L58" s="388" t="s">
        <v>496</v>
      </c>
      <c r="M58" s="389"/>
    </row>
    <row r="59" spans="1:13" ht="54.95" customHeight="1">
      <c r="A59" s="191" t="s">
        <v>505</v>
      </c>
      <c r="B59" s="45">
        <v>28</v>
      </c>
      <c r="C59" s="157" t="s">
        <v>398</v>
      </c>
      <c r="D59" s="10" t="s">
        <v>101</v>
      </c>
      <c r="E59" s="122" t="s">
        <v>79</v>
      </c>
      <c r="F59" s="122" t="s">
        <v>59</v>
      </c>
      <c r="G59" s="123">
        <v>1</v>
      </c>
      <c r="H59" s="124">
        <v>0</v>
      </c>
      <c r="I59" s="125">
        <v>10300</v>
      </c>
      <c r="J59" s="124">
        <f t="shared" si="2"/>
        <v>0</v>
      </c>
      <c r="K59" s="46">
        <f t="shared" si="3"/>
        <v>10300</v>
      </c>
      <c r="L59" s="388" t="s">
        <v>497</v>
      </c>
      <c r="M59" s="389"/>
    </row>
    <row r="60" spans="1:13" ht="54.95" customHeight="1">
      <c r="A60" s="191" t="s">
        <v>505</v>
      </c>
      <c r="B60" s="47">
        <v>29</v>
      </c>
      <c r="C60" s="157" t="s">
        <v>398</v>
      </c>
      <c r="D60" s="15" t="s">
        <v>102</v>
      </c>
      <c r="E60" s="144" t="s">
        <v>54</v>
      </c>
      <c r="F60" s="144" t="s">
        <v>59</v>
      </c>
      <c r="G60" s="145">
        <v>5</v>
      </c>
      <c r="H60" s="146">
        <v>0</v>
      </c>
      <c r="I60" s="147">
        <v>6300</v>
      </c>
      <c r="J60" s="146">
        <f t="shared" si="2"/>
        <v>0</v>
      </c>
      <c r="K60" s="48">
        <f t="shared" si="3"/>
        <v>31500</v>
      </c>
      <c r="L60" s="388"/>
      <c r="M60" s="389"/>
    </row>
    <row r="61" spans="1:13" ht="54.95" customHeight="1">
      <c r="A61" s="191" t="s">
        <v>505</v>
      </c>
      <c r="B61" s="45">
        <v>30</v>
      </c>
      <c r="C61" s="157" t="s">
        <v>398</v>
      </c>
      <c r="D61" s="10" t="s">
        <v>103</v>
      </c>
      <c r="E61" s="122" t="s">
        <v>81</v>
      </c>
      <c r="F61" s="122" t="s">
        <v>59</v>
      </c>
      <c r="G61" s="123">
        <v>2</v>
      </c>
      <c r="H61" s="124">
        <v>0</v>
      </c>
      <c r="I61" s="125">
        <v>18000</v>
      </c>
      <c r="J61" s="124">
        <f t="shared" si="2"/>
        <v>0</v>
      </c>
      <c r="K61" s="46">
        <f t="shared" si="3"/>
        <v>36000</v>
      </c>
      <c r="L61" s="388"/>
      <c r="M61" s="389"/>
    </row>
    <row r="62" spans="1:13" ht="54.95" customHeight="1">
      <c r="A62" s="191" t="s">
        <v>505</v>
      </c>
      <c r="B62" s="47">
        <v>31</v>
      </c>
      <c r="C62" s="157" t="s">
        <v>398</v>
      </c>
      <c r="D62" s="15" t="s">
        <v>104</v>
      </c>
      <c r="E62" s="144" t="s">
        <v>54</v>
      </c>
      <c r="F62" s="144" t="s">
        <v>59</v>
      </c>
      <c r="G62" s="145">
        <v>4</v>
      </c>
      <c r="H62" s="146">
        <v>0</v>
      </c>
      <c r="I62" s="147">
        <v>9300</v>
      </c>
      <c r="J62" s="146">
        <f t="shared" si="2"/>
        <v>0</v>
      </c>
      <c r="K62" s="48">
        <f t="shared" si="3"/>
        <v>37200</v>
      </c>
      <c r="L62" s="388" t="s">
        <v>498</v>
      </c>
      <c r="M62" s="389"/>
    </row>
    <row r="63" spans="1:13" ht="54.95" customHeight="1">
      <c r="A63" s="191" t="s">
        <v>505</v>
      </c>
      <c r="B63" s="45">
        <v>32</v>
      </c>
      <c r="C63" s="157" t="s">
        <v>398</v>
      </c>
      <c r="D63" s="10" t="s">
        <v>105</v>
      </c>
      <c r="E63" s="122" t="s">
        <v>50</v>
      </c>
      <c r="F63" s="122" t="s">
        <v>59</v>
      </c>
      <c r="G63" s="123">
        <v>2</v>
      </c>
      <c r="H63" s="124">
        <v>0</v>
      </c>
      <c r="I63" s="125">
        <v>10250</v>
      </c>
      <c r="J63" s="124">
        <f t="shared" si="2"/>
        <v>0</v>
      </c>
      <c r="K63" s="46">
        <f t="shared" si="3"/>
        <v>20500</v>
      </c>
      <c r="L63" s="388" t="s">
        <v>499</v>
      </c>
      <c r="M63" s="389"/>
    </row>
    <row r="64" spans="1:13" ht="54.95" customHeight="1">
      <c r="A64" s="191" t="s">
        <v>505</v>
      </c>
      <c r="B64" s="47">
        <v>33</v>
      </c>
      <c r="C64" s="157" t="s">
        <v>398</v>
      </c>
      <c r="D64" s="15" t="s">
        <v>106</v>
      </c>
      <c r="E64" s="144" t="s">
        <v>54</v>
      </c>
      <c r="F64" s="144" t="s">
        <v>59</v>
      </c>
      <c r="G64" s="145">
        <v>8</v>
      </c>
      <c r="H64" s="146">
        <v>0</v>
      </c>
      <c r="I64" s="147">
        <v>12000</v>
      </c>
      <c r="J64" s="146">
        <f t="shared" si="2"/>
        <v>0</v>
      </c>
      <c r="K64" s="48">
        <f t="shared" si="3"/>
        <v>96000</v>
      </c>
      <c r="L64" s="388"/>
      <c r="M64" s="389"/>
    </row>
    <row r="65" spans="1:13" ht="54.95" customHeight="1">
      <c r="A65" s="191" t="s">
        <v>505</v>
      </c>
      <c r="B65" s="45">
        <v>34</v>
      </c>
      <c r="C65" s="157" t="s">
        <v>397</v>
      </c>
      <c r="D65" s="10" t="s">
        <v>107</v>
      </c>
      <c r="E65" s="122" t="s">
        <v>45</v>
      </c>
      <c r="F65" s="122" t="s">
        <v>59</v>
      </c>
      <c r="G65" s="123">
        <v>1</v>
      </c>
      <c r="H65" s="124">
        <v>0</v>
      </c>
      <c r="I65" s="125">
        <v>3700</v>
      </c>
      <c r="J65" s="124">
        <f t="shared" si="2"/>
        <v>0</v>
      </c>
      <c r="K65" s="46">
        <f t="shared" si="3"/>
        <v>3700</v>
      </c>
      <c r="L65" s="388" t="s">
        <v>500</v>
      </c>
      <c r="M65" s="389"/>
    </row>
    <row r="66" spans="1:13" ht="54.95" customHeight="1">
      <c r="A66" s="191" t="s">
        <v>505</v>
      </c>
      <c r="B66" s="47">
        <v>35</v>
      </c>
      <c r="C66" s="157" t="s">
        <v>397</v>
      </c>
      <c r="D66" s="15" t="s">
        <v>108</v>
      </c>
      <c r="E66" s="144" t="s">
        <v>45</v>
      </c>
      <c r="F66" s="144" t="s">
        <v>59</v>
      </c>
      <c r="G66" s="145">
        <v>1</v>
      </c>
      <c r="H66" s="146">
        <v>0</v>
      </c>
      <c r="I66" s="147">
        <v>900</v>
      </c>
      <c r="J66" s="146">
        <f t="shared" si="2"/>
        <v>0</v>
      </c>
      <c r="K66" s="48">
        <f t="shared" si="3"/>
        <v>900</v>
      </c>
      <c r="L66" s="388" t="s">
        <v>501</v>
      </c>
      <c r="M66" s="389"/>
    </row>
    <row r="67" spans="1:13" ht="54.95" customHeight="1">
      <c r="A67" s="191" t="s">
        <v>505</v>
      </c>
      <c r="B67" s="45">
        <v>36</v>
      </c>
      <c r="C67" s="156" t="s">
        <v>487</v>
      </c>
      <c r="D67" s="10" t="s">
        <v>109</v>
      </c>
      <c r="E67" s="122" t="s">
        <v>54</v>
      </c>
      <c r="F67" s="122" t="s">
        <v>59</v>
      </c>
      <c r="G67" s="123">
        <v>3</v>
      </c>
      <c r="H67" s="124">
        <v>0</v>
      </c>
      <c r="I67" s="125">
        <v>11</v>
      </c>
      <c r="J67" s="124">
        <f t="shared" si="2"/>
        <v>0</v>
      </c>
      <c r="K67" s="46">
        <f t="shared" si="3"/>
        <v>33</v>
      </c>
      <c r="L67" s="388" t="s">
        <v>502</v>
      </c>
      <c r="M67" s="389"/>
    </row>
    <row r="68" spans="1:13" ht="54.95" customHeight="1">
      <c r="A68" s="191" t="s">
        <v>505</v>
      </c>
      <c r="B68" s="47">
        <v>37</v>
      </c>
      <c r="C68" s="156" t="s">
        <v>487</v>
      </c>
      <c r="D68" s="15" t="s">
        <v>110</v>
      </c>
      <c r="E68" s="144" t="s">
        <v>79</v>
      </c>
      <c r="F68" s="144" t="s">
        <v>59</v>
      </c>
      <c r="G68" s="145">
        <v>1</v>
      </c>
      <c r="H68" s="146">
        <v>0</v>
      </c>
      <c r="I68" s="147">
        <v>16</v>
      </c>
      <c r="J68" s="146">
        <f t="shared" si="2"/>
        <v>0</v>
      </c>
      <c r="K68" s="48">
        <f t="shared" si="3"/>
        <v>16</v>
      </c>
      <c r="L68" s="388"/>
      <c r="M68" s="389"/>
    </row>
    <row r="69" spans="1:13" ht="54.95" customHeight="1">
      <c r="A69" s="191" t="s">
        <v>505</v>
      </c>
      <c r="B69" s="45">
        <v>38</v>
      </c>
      <c r="C69" s="156" t="s">
        <v>487</v>
      </c>
      <c r="D69" s="10" t="s">
        <v>111</v>
      </c>
      <c r="E69" s="122" t="s">
        <v>81</v>
      </c>
      <c r="F69" s="122" t="s">
        <v>59</v>
      </c>
      <c r="G69" s="123">
        <v>2</v>
      </c>
      <c r="H69" s="124">
        <v>0</v>
      </c>
      <c r="I69" s="125">
        <v>25</v>
      </c>
      <c r="J69" s="124">
        <f t="shared" si="2"/>
        <v>0</v>
      </c>
      <c r="K69" s="46">
        <f t="shared" si="3"/>
        <v>50</v>
      </c>
      <c r="L69" s="388"/>
      <c r="M69" s="389"/>
    </row>
    <row r="70" spans="1:13" ht="54.95" customHeight="1">
      <c r="A70" s="191" t="s">
        <v>505</v>
      </c>
      <c r="B70" s="47">
        <v>39</v>
      </c>
      <c r="C70" s="14" t="s">
        <v>432</v>
      </c>
      <c r="D70" s="15" t="s">
        <v>112</v>
      </c>
      <c r="E70" s="144" t="s">
        <v>73</v>
      </c>
      <c r="F70" s="144" t="s">
        <v>74</v>
      </c>
      <c r="G70" s="145">
        <v>1</v>
      </c>
      <c r="H70" s="146">
        <v>0</v>
      </c>
      <c r="I70" s="147">
        <v>2500</v>
      </c>
      <c r="J70" s="146">
        <f t="shared" si="2"/>
        <v>0</v>
      </c>
      <c r="K70" s="48">
        <f t="shared" si="3"/>
        <v>2500</v>
      </c>
      <c r="L70" s="390" t="s">
        <v>503</v>
      </c>
      <c r="M70" s="391"/>
    </row>
    <row r="71" spans="1:13" ht="26.1" customHeight="1" thickBot="1">
      <c r="A71" s="192"/>
      <c r="B71" s="395" t="s">
        <v>75</v>
      </c>
      <c r="C71" s="396"/>
      <c r="D71" s="397"/>
      <c r="E71" s="397"/>
      <c r="F71" s="397"/>
      <c r="G71" s="56">
        <f>SUM(G32:G70)</f>
        <v>3601</v>
      </c>
      <c r="H71" s="57"/>
      <c r="I71" s="58"/>
      <c r="J71" s="56">
        <f>SUM(J32:J70)</f>
        <v>0</v>
      </c>
      <c r="K71" s="59">
        <f>SUM(K32:K70)</f>
        <v>942056</v>
      </c>
      <c r="L71" s="162"/>
      <c r="M71" s="67"/>
    </row>
    <row r="72" spans="1:13" ht="24.75" thickBot="1">
      <c r="A72" s="141"/>
      <c r="B72" s="158"/>
      <c r="C72" s="158"/>
      <c r="D72" s="158"/>
      <c r="E72" s="158"/>
      <c r="F72" s="158"/>
      <c r="G72" s="172"/>
      <c r="H72" s="172"/>
      <c r="I72" s="172"/>
      <c r="J72" s="172"/>
      <c r="K72" s="172"/>
      <c r="L72" s="142"/>
      <c r="M72" s="143"/>
    </row>
  </sheetData>
  <autoFilter ref="B6:M29" xr:uid="{00000000-0001-0000-0100-000000000000}">
    <filterColumn colId="1">
      <customFilters>
        <customFilter operator="notEqual" val=" "/>
      </customFilters>
    </filterColumn>
    <filterColumn colId="10" showButton="0"/>
  </autoFilter>
  <mergeCells count="46">
    <mergeCell ref="B71:F71"/>
    <mergeCell ref="B1:B2"/>
    <mergeCell ref="L6:M6"/>
    <mergeCell ref="L7:M11"/>
    <mergeCell ref="L12:M12"/>
    <mergeCell ref="L13:M13"/>
    <mergeCell ref="L14:M14"/>
    <mergeCell ref="L15:M15"/>
    <mergeCell ref="L16:M16"/>
    <mergeCell ref="L17:M18"/>
    <mergeCell ref="L19:M19"/>
    <mergeCell ref="L20:M20"/>
    <mergeCell ref="L21:M21"/>
    <mergeCell ref="L22:M22"/>
    <mergeCell ref="K1:K2"/>
    <mergeCell ref="L23:M23"/>
    <mergeCell ref="L24:M24"/>
    <mergeCell ref="L25:M25"/>
    <mergeCell ref="L26:M26"/>
    <mergeCell ref="L27:M27"/>
    <mergeCell ref="L28:M28"/>
    <mergeCell ref="L70:M70"/>
    <mergeCell ref="L56:M57"/>
    <mergeCell ref="L58:M58"/>
    <mergeCell ref="L59:M61"/>
    <mergeCell ref="L62:M62"/>
    <mergeCell ref="L63:M64"/>
    <mergeCell ref="L65:M65"/>
    <mergeCell ref="L66:M66"/>
    <mergeCell ref="L67:M69"/>
    <mergeCell ref="L31:M31"/>
    <mergeCell ref="L44:M44"/>
    <mergeCell ref="L45:M46"/>
    <mergeCell ref="L47:M48"/>
    <mergeCell ref="L49:M53"/>
    <mergeCell ref="L54:M55"/>
    <mergeCell ref="L32:M38"/>
    <mergeCell ref="L39:M39"/>
    <mergeCell ref="L40:M41"/>
    <mergeCell ref="L42:M43"/>
    <mergeCell ref="D1:J1"/>
    <mergeCell ref="B5:K5"/>
    <mergeCell ref="B30:K30"/>
    <mergeCell ref="D29:F29"/>
    <mergeCell ref="E2:I2"/>
    <mergeCell ref="B3:D3"/>
  </mergeCells>
  <hyperlinks>
    <hyperlink ref="B3" location="Dashboard!A1" display="◀ بازگشت به داشبورد" xr:uid="{00000000-0004-0000-0100-000000000000}"/>
  </hyperlinks>
  <printOptions horizontalCentered="1" verticalCentered="1"/>
  <pageMargins left="0.1" right="0.1" top="0.1" bottom="0.1" header="0.1" footer="0.1"/>
  <pageSetup paperSize="8" scale="36" fitToHeight="0" orientation="landscape" r:id="rId1"/>
  <rowBreaks count="2" manualBreakCount="2">
    <brk id="29" max="16383" man="1"/>
    <brk id="5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C2D5A-0F42-4C83-AE07-F1D6550C40FA}">
  <sheetPr codeName="Sheet9" filterMode="1">
    <tabColor rgb="FF7030A0"/>
    <pageSetUpPr fitToPage="1"/>
  </sheetPr>
  <dimension ref="A1:M71"/>
  <sheetViews>
    <sheetView showGridLines="0" topLeftCell="B1" zoomScale="85" zoomScaleNormal="85" workbookViewId="0">
      <selection activeCell="G16" activeCellId="2" sqref="G45:G49 G17 G16"/>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thickBot="1">
      <c r="A5" s="77"/>
      <c r="B5" s="415" t="s">
        <v>34</v>
      </c>
      <c r="C5" s="415"/>
      <c r="D5" s="415"/>
      <c r="E5" s="415"/>
      <c r="F5" s="415"/>
      <c r="G5" s="415"/>
      <c r="H5" s="415"/>
      <c r="I5" s="415"/>
      <c r="J5" s="415"/>
      <c r="K5" s="415"/>
      <c r="L5" s="35"/>
    </row>
    <row r="6" spans="1:13" ht="18" customHeight="1" thickBot="1">
      <c r="A6" s="77"/>
      <c r="B6" s="42"/>
      <c r="C6" s="52"/>
      <c r="D6" s="52"/>
      <c r="E6" s="52"/>
      <c r="F6" s="52"/>
      <c r="G6" s="53"/>
      <c r="H6" s="53"/>
      <c r="I6" s="53"/>
      <c r="J6" s="53"/>
      <c r="K6" s="54"/>
      <c r="L6" s="35"/>
    </row>
    <row r="7" spans="1:13" ht="27.95" customHeight="1">
      <c r="A7" s="71" t="s">
        <v>506</v>
      </c>
      <c r="B7" s="97" t="s">
        <v>35</v>
      </c>
      <c r="C7" s="34" t="s">
        <v>393</v>
      </c>
      <c r="D7" s="34" t="s">
        <v>523</v>
      </c>
      <c r="E7" s="34" t="s">
        <v>37</v>
      </c>
      <c r="F7" s="34" t="s">
        <v>38</v>
      </c>
      <c r="G7" s="34" t="s">
        <v>39</v>
      </c>
      <c r="H7" s="34" t="s">
        <v>40</v>
      </c>
      <c r="I7" s="34" t="s">
        <v>41</v>
      </c>
      <c r="J7" s="34" t="s">
        <v>42</v>
      </c>
      <c r="K7" s="44" t="s">
        <v>43</v>
      </c>
      <c r="L7" s="423" t="s">
        <v>480</v>
      </c>
      <c r="M7" s="386"/>
    </row>
    <row r="8" spans="1:13" ht="50.1" hidden="1" customHeight="1">
      <c r="A8" s="95" t="s">
        <v>504</v>
      </c>
      <c r="B8" s="45">
        <v>1</v>
      </c>
      <c r="C8" s="9" t="s">
        <v>394</v>
      </c>
      <c r="D8" s="10" t="s">
        <v>44</v>
      </c>
      <c r="E8" s="9" t="s">
        <v>45</v>
      </c>
      <c r="F8" s="9" t="s">
        <v>46</v>
      </c>
      <c r="G8" s="11">
        <v>96</v>
      </c>
      <c r="H8" s="12">
        <v>0</v>
      </c>
      <c r="I8" s="13">
        <v>45</v>
      </c>
      <c r="J8" s="12">
        <f t="shared" ref="J8:J29" si="0">G8*H8</f>
        <v>0</v>
      </c>
      <c r="K8" s="46">
        <f t="shared" ref="K8:K29" si="1">G8*I8</f>
        <v>4320</v>
      </c>
      <c r="L8" s="417" t="s">
        <v>401</v>
      </c>
      <c r="M8" s="418"/>
    </row>
    <row r="9" spans="1:13" ht="50.1" hidden="1" customHeight="1">
      <c r="A9" s="95" t="s">
        <v>504</v>
      </c>
      <c r="B9" s="47">
        <v>2</v>
      </c>
      <c r="C9" s="14" t="s">
        <v>394</v>
      </c>
      <c r="D9" s="15" t="s">
        <v>47</v>
      </c>
      <c r="E9" s="14" t="s">
        <v>45</v>
      </c>
      <c r="F9" s="14" t="s">
        <v>46</v>
      </c>
      <c r="G9" s="16">
        <v>72</v>
      </c>
      <c r="H9" s="17">
        <v>0</v>
      </c>
      <c r="I9" s="18">
        <v>45</v>
      </c>
      <c r="J9" s="17">
        <f t="shared" si="0"/>
        <v>0</v>
      </c>
      <c r="K9" s="48">
        <f t="shared" si="1"/>
        <v>3240</v>
      </c>
      <c r="L9" s="419"/>
      <c r="M9" s="420"/>
    </row>
    <row r="10" spans="1:13" ht="50.1" hidden="1" customHeight="1">
      <c r="A10" s="95" t="s">
        <v>504</v>
      </c>
      <c r="B10" s="45">
        <v>3</v>
      </c>
      <c r="C10" s="9" t="s">
        <v>394</v>
      </c>
      <c r="D10" s="10" t="s">
        <v>48</v>
      </c>
      <c r="E10" s="9" t="s">
        <v>45</v>
      </c>
      <c r="F10" s="9" t="s">
        <v>46</v>
      </c>
      <c r="G10" s="11">
        <v>72</v>
      </c>
      <c r="H10" s="12">
        <v>0</v>
      </c>
      <c r="I10" s="13">
        <v>45</v>
      </c>
      <c r="J10" s="12">
        <f t="shared" si="0"/>
        <v>0</v>
      </c>
      <c r="K10" s="46">
        <f t="shared" si="1"/>
        <v>3240</v>
      </c>
      <c r="L10" s="419"/>
      <c r="M10" s="420"/>
    </row>
    <row r="11" spans="1:13" ht="50.1" hidden="1" customHeight="1">
      <c r="A11" s="95" t="s">
        <v>504</v>
      </c>
      <c r="B11" s="47">
        <v>4</v>
      </c>
      <c r="C11" s="14" t="s">
        <v>394</v>
      </c>
      <c r="D11" s="15" t="s">
        <v>49</v>
      </c>
      <c r="E11" s="14" t="s">
        <v>50</v>
      </c>
      <c r="F11" s="14" t="s">
        <v>46</v>
      </c>
      <c r="G11" s="16">
        <v>150</v>
      </c>
      <c r="H11" s="17">
        <v>0</v>
      </c>
      <c r="I11" s="18">
        <v>64</v>
      </c>
      <c r="J11" s="17">
        <f t="shared" si="0"/>
        <v>0</v>
      </c>
      <c r="K11" s="48">
        <f t="shared" si="1"/>
        <v>9600</v>
      </c>
      <c r="L11" s="419"/>
      <c r="M11" s="420"/>
    </row>
    <row r="12" spans="1:13" ht="50.1" hidden="1" customHeight="1">
      <c r="A12" s="95" t="s">
        <v>504</v>
      </c>
      <c r="B12" s="45">
        <v>5</v>
      </c>
      <c r="C12" s="9" t="s">
        <v>394</v>
      </c>
      <c r="D12" s="10" t="s">
        <v>51</v>
      </c>
      <c r="E12" s="9" t="s">
        <v>52</v>
      </c>
      <c r="F12" s="9" t="s">
        <v>46</v>
      </c>
      <c r="G12" s="11">
        <v>500</v>
      </c>
      <c r="H12" s="12">
        <v>0</v>
      </c>
      <c r="I12" s="13">
        <v>124</v>
      </c>
      <c r="J12" s="12">
        <f t="shared" si="0"/>
        <v>0</v>
      </c>
      <c r="K12" s="46">
        <f t="shared" si="1"/>
        <v>62000</v>
      </c>
      <c r="L12" s="421"/>
      <c r="M12" s="422"/>
    </row>
    <row r="13" spans="1:13" ht="50.1" hidden="1" customHeight="1">
      <c r="A13" s="95" t="s">
        <v>504</v>
      </c>
      <c r="B13" s="47">
        <v>6</v>
      </c>
      <c r="C13" s="14" t="s">
        <v>394</v>
      </c>
      <c r="D13" s="15" t="s">
        <v>53</v>
      </c>
      <c r="E13" s="14" t="s">
        <v>54</v>
      </c>
      <c r="F13" s="14" t="s">
        <v>46</v>
      </c>
      <c r="G13" s="16">
        <v>300</v>
      </c>
      <c r="H13" s="17">
        <v>0</v>
      </c>
      <c r="I13" s="18">
        <v>165</v>
      </c>
      <c r="J13" s="17">
        <f t="shared" si="0"/>
        <v>0</v>
      </c>
      <c r="K13" s="48">
        <f t="shared" si="1"/>
        <v>49500</v>
      </c>
      <c r="L13" s="416" t="s">
        <v>402</v>
      </c>
      <c r="M13" s="393"/>
    </row>
    <row r="14" spans="1:13" ht="50.1" hidden="1" customHeight="1">
      <c r="A14" s="95" t="s">
        <v>504</v>
      </c>
      <c r="B14" s="45">
        <v>7</v>
      </c>
      <c r="C14" s="9" t="s">
        <v>394</v>
      </c>
      <c r="D14" s="10" t="s">
        <v>55</v>
      </c>
      <c r="E14" s="9" t="s">
        <v>54</v>
      </c>
      <c r="F14" s="9" t="s">
        <v>46</v>
      </c>
      <c r="G14" s="11">
        <v>150</v>
      </c>
      <c r="H14" s="12">
        <v>0</v>
      </c>
      <c r="I14" s="13">
        <v>208</v>
      </c>
      <c r="J14" s="12">
        <f t="shared" si="0"/>
        <v>0</v>
      </c>
      <c r="K14" s="46">
        <f t="shared" si="1"/>
        <v>31200</v>
      </c>
      <c r="L14" s="416" t="s">
        <v>403</v>
      </c>
      <c r="M14" s="393"/>
    </row>
    <row r="15" spans="1:13" ht="50.1" hidden="1" customHeight="1">
      <c r="A15" s="95" t="s">
        <v>504</v>
      </c>
      <c r="B15" s="47">
        <v>8</v>
      </c>
      <c r="C15" s="14" t="s">
        <v>394</v>
      </c>
      <c r="D15" s="15" t="s">
        <v>56</v>
      </c>
      <c r="E15" s="14" t="s">
        <v>54</v>
      </c>
      <c r="F15" s="14" t="s">
        <v>46</v>
      </c>
      <c r="G15" s="16">
        <v>400</v>
      </c>
      <c r="H15" s="17">
        <v>0</v>
      </c>
      <c r="I15" s="18">
        <v>273</v>
      </c>
      <c r="J15" s="17">
        <f t="shared" si="0"/>
        <v>0</v>
      </c>
      <c r="K15" s="48">
        <f t="shared" si="1"/>
        <v>109200</v>
      </c>
      <c r="L15" s="416" t="s">
        <v>403</v>
      </c>
      <c r="M15" s="393"/>
    </row>
    <row r="16" spans="1:13" ht="50.1" customHeight="1">
      <c r="A16" s="95" t="s">
        <v>504</v>
      </c>
      <c r="B16" s="45">
        <v>9</v>
      </c>
      <c r="C16" s="9" t="s">
        <v>395</v>
      </c>
      <c r="D16" s="10" t="s">
        <v>57</v>
      </c>
      <c r="E16" s="9" t="s">
        <v>58</v>
      </c>
      <c r="F16" s="9" t="s">
        <v>59</v>
      </c>
      <c r="G16" s="11">
        <v>2</v>
      </c>
      <c r="H16" s="12">
        <v>0</v>
      </c>
      <c r="I16" s="13">
        <v>531.42999999999995</v>
      </c>
      <c r="J16" s="12">
        <f t="shared" si="0"/>
        <v>0</v>
      </c>
      <c r="K16" s="46">
        <f t="shared" si="1"/>
        <v>1062.8599999999999</v>
      </c>
      <c r="L16" s="416" t="s">
        <v>404</v>
      </c>
      <c r="M16" s="393"/>
    </row>
    <row r="17" spans="1:13" ht="50.1" customHeight="1">
      <c r="A17" s="95" t="s">
        <v>504</v>
      </c>
      <c r="B17" s="47">
        <v>10</v>
      </c>
      <c r="C17" s="14" t="s">
        <v>395</v>
      </c>
      <c r="D17" s="15" t="s">
        <v>60</v>
      </c>
      <c r="E17" s="14" t="s">
        <v>50</v>
      </c>
      <c r="F17" s="14" t="s">
        <v>59</v>
      </c>
      <c r="G17" s="16">
        <v>3</v>
      </c>
      <c r="H17" s="17">
        <v>0</v>
      </c>
      <c r="I17" s="18">
        <v>1280.19</v>
      </c>
      <c r="J17" s="17">
        <f t="shared" si="0"/>
        <v>0</v>
      </c>
      <c r="K17" s="48">
        <f t="shared" si="1"/>
        <v>3840.57</v>
      </c>
      <c r="L17" s="416" t="s">
        <v>405</v>
      </c>
      <c r="M17" s="393"/>
    </row>
    <row r="18" spans="1:13" ht="50.1" hidden="1" customHeight="1">
      <c r="A18" s="95" t="s">
        <v>504</v>
      </c>
      <c r="B18" s="45">
        <v>11</v>
      </c>
      <c r="C18" s="9" t="s">
        <v>396</v>
      </c>
      <c r="D18" s="10" t="s">
        <v>61</v>
      </c>
      <c r="E18" s="9" t="s">
        <v>58</v>
      </c>
      <c r="F18" s="9" t="s">
        <v>59</v>
      </c>
      <c r="G18" s="11">
        <v>2</v>
      </c>
      <c r="H18" s="12">
        <v>0</v>
      </c>
      <c r="I18" s="13">
        <v>223.85</v>
      </c>
      <c r="J18" s="12">
        <f t="shared" si="0"/>
        <v>0</v>
      </c>
      <c r="K18" s="46">
        <f t="shared" si="1"/>
        <v>447.7</v>
      </c>
      <c r="L18" s="442" t="s">
        <v>406</v>
      </c>
      <c r="M18" s="408"/>
    </row>
    <row r="19" spans="1:13" ht="50.1" hidden="1" customHeight="1">
      <c r="A19" s="95" t="s">
        <v>504</v>
      </c>
      <c r="B19" s="47">
        <v>12</v>
      </c>
      <c r="C19" s="14" t="s">
        <v>396</v>
      </c>
      <c r="D19" s="15" t="s">
        <v>62</v>
      </c>
      <c r="E19" s="14" t="s">
        <v>50</v>
      </c>
      <c r="F19" s="14" t="s">
        <v>59</v>
      </c>
      <c r="G19" s="16">
        <v>2</v>
      </c>
      <c r="H19" s="17">
        <v>0</v>
      </c>
      <c r="I19" s="18">
        <v>1767.8</v>
      </c>
      <c r="J19" s="17">
        <f t="shared" si="0"/>
        <v>0</v>
      </c>
      <c r="K19" s="48">
        <f t="shared" si="1"/>
        <v>3535.6</v>
      </c>
      <c r="L19" s="443"/>
      <c r="M19" s="406"/>
    </row>
    <row r="20" spans="1:13" ht="50.1" hidden="1" customHeight="1">
      <c r="A20" s="95" t="s">
        <v>504</v>
      </c>
      <c r="B20" s="45">
        <v>13</v>
      </c>
      <c r="C20" s="9" t="s">
        <v>396</v>
      </c>
      <c r="D20" s="10" t="s">
        <v>63</v>
      </c>
      <c r="E20" s="9" t="s">
        <v>54</v>
      </c>
      <c r="F20" s="9" t="s">
        <v>59</v>
      </c>
      <c r="G20" s="11">
        <v>2</v>
      </c>
      <c r="H20" s="12">
        <v>0</v>
      </c>
      <c r="I20" s="13">
        <v>6185.32</v>
      </c>
      <c r="J20" s="12">
        <f t="shared" si="0"/>
        <v>0</v>
      </c>
      <c r="K20" s="46">
        <f t="shared" si="1"/>
        <v>12370.64</v>
      </c>
      <c r="L20" s="416" t="s">
        <v>407</v>
      </c>
      <c r="M20" s="393"/>
    </row>
    <row r="21" spans="1:13" ht="50.1" hidden="1" customHeight="1">
      <c r="A21" s="95" t="s">
        <v>504</v>
      </c>
      <c r="B21" s="98">
        <v>14</v>
      </c>
      <c r="C21" s="19" t="s">
        <v>396</v>
      </c>
      <c r="D21" s="20" t="s">
        <v>64</v>
      </c>
      <c r="E21" s="19" t="s">
        <v>54</v>
      </c>
      <c r="F21" s="19" t="s">
        <v>59</v>
      </c>
      <c r="G21" s="21">
        <v>2</v>
      </c>
      <c r="H21" s="22">
        <v>0</v>
      </c>
      <c r="I21" s="23">
        <v>9292.1299999999992</v>
      </c>
      <c r="J21" s="22">
        <f t="shared" si="0"/>
        <v>0</v>
      </c>
      <c r="K21" s="99">
        <f t="shared" si="1"/>
        <v>18584.259999999998</v>
      </c>
      <c r="L21" s="444" t="s">
        <v>408</v>
      </c>
      <c r="M21" s="445"/>
    </row>
    <row r="22" spans="1:13" ht="50.1" hidden="1" customHeight="1">
      <c r="A22" s="95" t="s">
        <v>504</v>
      </c>
      <c r="B22" s="98">
        <v>15</v>
      </c>
      <c r="C22" s="19" t="s">
        <v>396</v>
      </c>
      <c r="D22" s="20" t="s">
        <v>65</v>
      </c>
      <c r="E22" s="19" t="s">
        <v>54</v>
      </c>
      <c r="F22" s="19" t="s">
        <v>59</v>
      </c>
      <c r="G22" s="21">
        <v>4</v>
      </c>
      <c r="H22" s="22">
        <v>0</v>
      </c>
      <c r="I22" s="23">
        <v>14069.71</v>
      </c>
      <c r="J22" s="22">
        <f t="shared" si="0"/>
        <v>0</v>
      </c>
      <c r="K22" s="99">
        <f t="shared" si="1"/>
        <v>56278.84</v>
      </c>
      <c r="L22" s="444" t="s">
        <v>409</v>
      </c>
      <c r="M22" s="445"/>
    </row>
    <row r="23" spans="1:13" ht="50.1" hidden="1" customHeight="1">
      <c r="A23" s="95" t="s">
        <v>504</v>
      </c>
      <c r="B23" s="47">
        <v>16</v>
      </c>
      <c r="C23" s="14" t="s">
        <v>397</v>
      </c>
      <c r="D23" s="15" t="s">
        <v>66</v>
      </c>
      <c r="E23" s="14" t="s">
        <v>45</v>
      </c>
      <c r="F23" s="14" t="s">
        <v>59</v>
      </c>
      <c r="G23" s="16">
        <v>1</v>
      </c>
      <c r="H23" s="17">
        <v>0</v>
      </c>
      <c r="I23" s="18">
        <v>5371.23</v>
      </c>
      <c r="J23" s="17">
        <f t="shared" si="0"/>
        <v>0</v>
      </c>
      <c r="K23" s="48">
        <f t="shared" si="1"/>
        <v>5371.23</v>
      </c>
      <c r="L23" s="446" t="s">
        <v>410</v>
      </c>
      <c r="M23" s="412"/>
    </row>
    <row r="24" spans="1:13" ht="50.1" hidden="1" customHeight="1">
      <c r="A24" s="95" t="s">
        <v>504</v>
      </c>
      <c r="B24" s="45">
        <v>17</v>
      </c>
      <c r="C24" s="9" t="s">
        <v>397</v>
      </c>
      <c r="D24" s="10" t="s">
        <v>67</v>
      </c>
      <c r="E24" s="9" t="s">
        <v>45</v>
      </c>
      <c r="F24" s="9" t="s">
        <v>59</v>
      </c>
      <c r="G24" s="11">
        <v>1</v>
      </c>
      <c r="H24" s="12">
        <v>0</v>
      </c>
      <c r="I24" s="13">
        <v>887.32</v>
      </c>
      <c r="J24" s="12">
        <f t="shared" si="0"/>
        <v>0</v>
      </c>
      <c r="K24" s="46">
        <f t="shared" si="1"/>
        <v>887.32</v>
      </c>
      <c r="L24" s="446" t="s">
        <v>411</v>
      </c>
      <c r="M24" s="412"/>
    </row>
    <row r="25" spans="1:13" ht="99" hidden="1" customHeight="1">
      <c r="A25" s="95" t="s">
        <v>504</v>
      </c>
      <c r="B25" s="47">
        <v>18</v>
      </c>
      <c r="C25" s="14" t="s">
        <v>398</v>
      </c>
      <c r="D25" s="15" t="s">
        <v>68</v>
      </c>
      <c r="E25" s="14" t="s">
        <v>45</v>
      </c>
      <c r="F25" s="14" t="s">
        <v>59</v>
      </c>
      <c r="G25" s="16">
        <v>1</v>
      </c>
      <c r="H25" s="17">
        <v>0</v>
      </c>
      <c r="I25" s="18">
        <v>6446.8</v>
      </c>
      <c r="J25" s="17">
        <f t="shared" si="0"/>
        <v>0</v>
      </c>
      <c r="K25" s="48">
        <f t="shared" si="1"/>
        <v>6446.8</v>
      </c>
      <c r="L25" s="416" t="s">
        <v>412</v>
      </c>
      <c r="M25" s="393"/>
    </row>
    <row r="26" spans="1:13" ht="99" hidden="1" customHeight="1">
      <c r="A26" s="95" t="s">
        <v>504</v>
      </c>
      <c r="B26" s="45">
        <v>19</v>
      </c>
      <c r="C26" s="9" t="s">
        <v>398</v>
      </c>
      <c r="D26" s="10" t="s">
        <v>69</v>
      </c>
      <c r="E26" s="9" t="s">
        <v>54</v>
      </c>
      <c r="F26" s="9" t="s">
        <v>59</v>
      </c>
      <c r="G26" s="11">
        <v>2</v>
      </c>
      <c r="H26" s="12">
        <v>0</v>
      </c>
      <c r="I26" s="13">
        <v>14819.15</v>
      </c>
      <c r="J26" s="12">
        <f t="shared" si="0"/>
        <v>0</v>
      </c>
      <c r="K26" s="46">
        <f t="shared" si="1"/>
        <v>29638.3</v>
      </c>
      <c r="L26" s="416" t="s">
        <v>413</v>
      </c>
      <c r="M26" s="393"/>
    </row>
    <row r="27" spans="1:13" ht="99" hidden="1" customHeight="1">
      <c r="A27" s="95" t="s">
        <v>504</v>
      </c>
      <c r="B27" s="47">
        <v>20</v>
      </c>
      <c r="C27" s="14" t="s">
        <v>398</v>
      </c>
      <c r="D27" s="15" t="s">
        <v>70</v>
      </c>
      <c r="E27" s="14" t="s">
        <v>54</v>
      </c>
      <c r="F27" s="14" t="s">
        <v>59</v>
      </c>
      <c r="G27" s="16">
        <v>2</v>
      </c>
      <c r="H27" s="17">
        <v>0</v>
      </c>
      <c r="I27" s="18">
        <v>10103.790000000001</v>
      </c>
      <c r="J27" s="17">
        <f t="shared" si="0"/>
        <v>0</v>
      </c>
      <c r="K27" s="48">
        <f t="shared" si="1"/>
        <v>20207.580000000002</v>
      </c>
      <c r="L27" s="416" t="s">
        <v>414</v>
      </c>
      <c r="M27" s="393"/>
    </row>
    <row r="28" spans="1:13" ht="50.1" hidden="1" customHeight="1">
      <c r="A28" s="95" t="s">
        <v>504</v>
      </c>
      <c r="B28" s="45">
        <v>21</v>
      </c>
      <c r="C28" s="9" t="s">
        <v>399</v>
      </c>
      <c r="D28" s="10" t="s">
        <v>71</v>
      </c>
      <c r="E28" s="9" t="s">
        <v>54</v>
      </c>
      <c r="F28" s="9" t="s">
        <v>59</v>
      </c>
      <c r="G28" s="11">
        <v>1</v>
      </c>
      <c r="H28" s="12">
        <v>0</v>
      </c>
      <c r="I28" s="13">
        <v>19896.18</v>
      </c>
      <c r="J28" s="12">
        <f t="shared" si="0"/>
        <v>0</v>
      </c>
      <c r="K28" s="46">
        <f t="shared" si="1"/>
        <v>19896.18</v>
      </c>
      <c r="L28" s="416" t="s">
        <v>415</v>
      </c>
      <c r="M28" s="393"/>
    </row>
    <row r="29" spans="1:13" ht="50.1" hidden="1" customHeight="1">
      <c r="A29" s="95" t="s">
        <v>504</v>
      </c>
      <c r="B29" s="47">
        <v>22</v>
      </c>
      <c r="C29" s="14" t="s">
        <v>549</v>
      </c>
      <c r="D29" s="15" t="s">
        <v>72</v>
      </c>
      <c r="E29" s="14" t="s">
        <v>73</v>
      </c>
      <c r="F29" s="14" t="s">
        <v>74</v>
      </c>
      <c r="G29" s="16">
        <v>1</v>
      </c>
      <c r="H29" s="17">
        <v>0</v>
      </c>
      <c r="I29" s="18">
        <v>150000</v>
      </c>
      <c r="J29" s="17">
        <f t="shared" si="0"/>
        <v>0</v>
      </c>
      <c r="K29" s="48">
        <f t="shared" si="1"/>
        <v>150000</v>
      </c>
      <c r="L29" s="431" t="s">
        <v>503</v>
      </c>
      <c r="M29" s="390"/>
    </row>
    <row r="30" spans="1:13" ht="26.1" hidden="1" customHeight="1" thickBot="1">
      <c r="A30" s="75"/>
      <c r="B30" s="100"/>
      <c r="C30" s="101"/>
      <c r="D30" s="437" t="s">
        <v>75</v>
      </c>
      <c r="E30" s="437"/>
      <c r="F30" s="437"/>
      <c r="G30" s="56">
        <f>SUM(G8:G29)</f>
        <v>1766</v>
      </c>
      <c r="H30" s="57"/>
      <c r="I30" s="58"/>
      <c r="J30" s="56">
        <f>SUM(J8:J29)</f>
        <v>0</v>
      </c>
      <c r="K30" s="59">
        <f>SUM(K8:K29)</f>
        <v>600867.87999999989</v>
      </c>
      <c r="L30" s="35"/>
    </row>
    <row r="31" spans="1:13" s="83" customFormat="1" ht="26.1" hidden="1" customHeight="1" thickTop="1" thickBot="1">
      <c r="A31" s="87"/>
      <c r="B31" s="88"/>
      <c r="C31" s="88"/>
      <c r="D31" s="89"/>
      <c r="E31" s="89"/>
      <c r="F31" s="89"/>
      <c r="G31" s="90"/>
      <c r="H31" s="91"/>
      <c r="I31" s="92"/>
      <c r="J31" s="90"/>
      <c r="K31" s="93"/>
      <c r="L31" s="94"/>
      <c r="M31" s="94"/>
    </row>
    <row r="32" spans="1:13" ht="26.1" hidden="1" customHeight="1">
      <c r="A32" s="102"/>
      <c r="B32" s="104"/>
      <c r="C32" s="105"/>
      <c r="D32" s="438" t="s">
        <v>76</v>
      </c>
      <c r="E32" s="438"/>
      <c r="F32" s="438"/>
      <c r="G32" s="438"/>
      <c r="H32" s="438"/>
      <c r="I32" s="438"/>
      <c r="J32" s="438"/>
      <c r="K32" s="439"/>
      <c r="L32" s="35"/>
    </row>
    <row r="33" spans="1:13" ht="69.95" hidden="1" customHeight="1">
      <c r="A33" s="103" t="s">
        <v>505</v>
      </c>
      <c r="B33" s="47">
        <v>1</v>
      </c>
      <c r="C33" s="51" t="s">
        <v>394</v>
      </c>
      <c r="D33" s="15" t="s">
        <v>48</v>
      </c>
      <c r="E33" s="14" t="s">
        <v>45</v>
      </c>
      <c r="F33" s="14" t="s">
        <v>46</v>
      </c>
      <c r="G33" s="16">
        <v>60</v>
      </c>
      <c r="H33" s="17">
        <v>0</v>
      </c>
      <c r="I33" s="18">
        <v>91</v>
      </c>
      <c r="J33" s="17">
        <f t="shared" ref="J33:J71" si="2">G33*H33</f>
        <v>0</v>
      </c>
      <c r="K33" s="48">
        <f t="shared" ref="K33:K71" si="3">G33*I33</f>
        <v>5460</v>
      </c>
      <c r="L33" s="433" t="s">
        <v>488</v>
      </c>
      <c r="M33" s="434"/>
    </row>
    <row r="34" spans="1:13" ht="69.95" hidden="1" customHeight="1">
      <c r="A34" s="103" t="s">
        <v>505</v>
      </c>
      <c r="B34" s="45">
        <v>2</v>
      </c>
      <c r="C34" s="51" t="s">
        <v>394</v>
      </c>
      <c r="D34" s="10" t="s">
        <v>44</v>
      </c>
      <c r="E34" s="9" t="s">
        <v>45</v>
      </c>
      <c r="F34" s="9" t="s">
        <v>46</v>
      </c>
      <c r="G34" s="11">
        <v>48</v>
      </c>
      <c r="H34" s="12">
        <v>0</v>
      </c>
      <c r="I34" s="13">
        <v>44</v>
      </c>
      <c r="J34" s="12">
        <f t="shared" si="2"/>
        <v>0</v>
      </c>
      <c r="K34" s="46">
        <f t="shared" si="3"/>
        <v>2112</v>
      </c>
      <c r="L34" s="440"/>
      <c r="M34" s="441"/>
    </row>
    <row r="35" spans="1:13" ht="69.95" hidden="1" customHeight="1">
      <c r="A35" s="103" t="s">
        <v>505</v>
      </c>
      <c r="B35" s="47">
        <v>3</v>
      </c>
      <c r="C35" s="51" t="s">
        <v>394</v>
      </c>
      <c r="D35" s="15" t="s">
        <v>47</v>
      </c>
      <c r="E35" s="14" t="s">
        <v>45</v>
      </c>
      <c r="F35" s="14" t="s">
        <v>46</v>
      </c>
      <c r="G35" s="16">
        <v>24</v>
      </c>
      <c r="H35" s="17">
        <v>0</v>
      </c>
      <c r="I35" s="18">
        <v>77.5</v>
      </c>
      <c r="J35" s="17">
        <f t="shared" si="2"/>
        <v>0</v>
      </c>
      <c r="K35" s="48">
        <f t="shared" si="3"/>
        <v>1860</v>
      </c>
      <c r="L35" s="440"/>
      <c r="M35" s="441"/>
    </row>
    <row r="36" spans="1:13" ht="69.95" hidden="1" customHeight="1">
      <c r="A36" s="103" t="s">
        <v>505</v>
      </c>
      <c r="B36" s="45">
        <v>4</v>
      </c>
      <c r="C36" s="51" t="s">
        <v>394</v>
      </c>
      <c r="D36" s="10" t="s">
        <v>49</v>
      </c>
      <c r="E36" s="9" t="s">
        <v>50</v>
      </c>
      <c r="F36" s="9" t="s">
        <v>46</v>
      </c>
      <c r="G36" s="11">
        <v>200</v>
      </c>
      <c r="H36" s="12">
        <v>0</v>
      </c>
      <c r="I36" s="13">
        <v>80</v>
      </c>
      <c r="J36" s="12">
        <f t="shared" si="2"/>
        <v>0</v>
      </c>
      <c r="K36" s="46">
        <f t="shared" si="3"/>
        <v>16000</v>
      </c>
      <c r="L36" s="440"/>
      <c r="M36" s="441"/>
    </row>
    <row r="37" spans="1:13" ht="69.95" hidden="1" customHeight="1">
      <c r="A37" s="103" t="s">
        <v>505</v>
      </c>
      <c r="B37" s="47">
        <v>5</v>
      </c>
      <c r="C37" s="51" t="s">
        <v>394</v>
      </c>
      <c r="D37" s="15" t="s">
        <v>77</v>
      </c>
      <c r="E37" s="14" t="s">
        <v>54</v>
      </c>
      <c r="F37" s="14" t="s">
        <v>46</v>
      </c>
      <c r="G37" s="16">
        <v>1600</v>
      </c>
      <c r="H37" s="17">
        <v>0</v>
      </c>
      <c r="I37" s="18">
        <v>100</v>
      </c>
      <c r="J37" s="17">
        <f t="shared" si="2"/>
        <v>0</v>
      </c>
      <c r="K37" s="48">
        <f t="shared" si="3"/>
        <v>160000</v>
      </c>
      <c r="L37" s="440"/>
      <c r="M37" s="441"/>
    </row>
    <row r="38" spans="1:13" ht="69.95" hidden="1" customHeight="1">
      <c r="A38" s="103" t="s">
        <v>505</v>
      </c>
      <c r="B38" s="45">
        <v>6</v>
      </c>
      <c r="C38" s="51" t="s">
        <v>394</v>
      </c>
      <c r="D38" s="10" t="s">
        <v>51</v>
      </c>
      <c r="E38" s="9" t="s">
        <v>52</v>
      </c>
      <c r="F38" s="9" t="s">
        <v>46</v>
      </c>
      <c r="G38" s="11">
        <v>36</v>
      </c>
      <c r="H38" s="12">
        <v>0</v>
      </c>
      <c r="I38" s="13">
        <v>110</v>
      </c>
      <c r="J38" s="12">
        <f t="shared" si="2"/>
        <v>0</v>
      </c>
      <c r="K38" s="46">
        <f t="shared" si="3"/>
        <v>3960</v>
      </c>
      <c r="L38" s="440"/>
      <c r="M38" s="441"/>
    </row>
    <row r="39" spans="1:13" ht="69.95" hidden="1" customHeight="1">
      <c r="A39" s="103" t="s">
        <v>505</v>
      </c>
      <c r="B39" s="47">
        <v>7</v>
      </c>
      <c r="C39" s="51" t="s">
        <v>394</v>
      </c>
      <c r="D39" s="15" t="s">
        <v>78</v>
      </c>
      <c r="E39" s="14" t="s">
        <v>79</v>
      </c>
      <c r="F39" s="14" t="s">
        <v>46</v>
      </c>
      <c r="G39" s="16">
        <v>200</v>
      </c>
      <c r="H39" s="17">
        <v>0</v>
      </c>
      <c r="I39" s="18">
        <v>145</v>
      </c>
      <c r="J39" s="17">
        <f t="shared" si="2"/>
        <v>0</v>
      </c>
      <c r="K39" s="48">
        <f t="shared" si="3"/>
        <v>29000</v>
      </c>
      <c r="L39" s="435"/>
      <c r="M39" s="436"/>
    </row>
    <row r="40" spans="1:13" ht="144.75" hidden="1" customHeight="1">
      <c r="A40" s="103" t="s">
        <v>505</v>
      </c>
      <c r="B40" s="45">
        <v>8</v>
      </c>
      <c r="C40" s="51" t="s">
        <v>394</v>
      </c>
      <c r="D40" s="10" t="s">
        <v>80</v>
      </c>
      <c r="E40" s="9" t="s">
        <v>81</v>
      </c>
      <c r="F40" s="9" t="s">
        <v>46</v>
      </c>
      <c r="G40" s="11">
        <v>450</v>
      </c>
      <c r="H40" s="12">
        <v>0</v>
      </c>
      <c r="I40" s="13">
        <v>220</v>
      </c>
      <c r="J40" s="12">
        <f t="shared" si="2"/>
        <v>0</v>
      </c>
      <c r="K40" s="46">
        <f t="shared" si="3"/>
        <v>99000</v>
      </c>
      <c r="L40" s="432" t="s">
        <v>489</v>
      </c>
      <c r="M40" s="384"/>
    </row>
    <row r="41" spans="1:13" ht="69.95" hidden="1" customHeight="1">
      <c r="A41" s="103" t="s">
        <v>505</v>
      </c>
      <c r="B41" s="47">
        <v>9</v>
      </c>
      <c r="C41" s="51" t="s">
        <v>394</v>
      </c>
      <c r="D41" s="15" t="s">
        <v>82</v>
      </c>
      <c r="E41" s="14" t="s">
        <v>54</v>
      </c>
      <c r="F41" s="14" t="s">
        <v>46</v>
      </c>
      <c r="G41" s="16">
        <v>90</v>
      </c>
      <c r="H41" s="17">
        <v>0</v>
      </c>
      <c r="I41" s="18">
        <v>170</v>
      </c>
      <c r="J41" s="17">
        <f t="shared" si="2"/>
        <v>0</v>
      </c>
      <c r="K41" s="48">
        <f t="shared" si="3"/>
        <v>15300</v>
      </c>
      <c r="L41" s="433" t="s">
        <v>490</v>
      </c>
      <c r="M41" s="434"/>
    </row>
    <row r="42" spans="1:13" ht="69.95" hidden="1" customHeight="1">
      <c r="A42" s="103" t="s">
        <v>505</v>
      </c>
      <c r="B42" s="45">
        <v>10</v>
      </c>
      <c r="C42" s="51" t="s">
        <v>394</v>
      </c>
      <c r="D42" s="10" t="s">
        <v>83</v>
      </c>
      <c r="E42" s="9" t="s">
        <v>52</v>
      </c>
      <c r="F42" s="9" t="s">
        <v>46</v>
      </c>
      <c r="G42" s="11">
        <v>12</v>
      </c>
      <c r="H42" s="12">
        <v>0</v>
      </c>
      <c r="I42" s="13">
        <v>192</v>
      </c>
      <c r="J42" s="12">
        <f t="shared" si="2"/>
        <v>0</v>
      </c>
      <c r="K42" s="46">
        <f t="shared" si="3"/>
        <v>2304</v>
      </c>
      <c r="L42" s="435"/>
      <c r="M42" s="436"/>
    </row>
    <row r="43" spans="1:13" ht="69.95" hidden="1" customHeight="1">
      <c r="A43" s="103" t="s">
        <v>505</v>
      </c>
      <c r="B43" s="47">
        <v>11</v>
      </c>
      <c r="C43" s="51" t="s">
        <v>394</v>
      </c>
      <c r="D43" s="15" t="s">
        <v>84</v>
      </c>
      <c r="E43" s="14" t="s">
        <v>50</v>
      </c>
      <c r="F43" s="14" t="s">
        <v>46</v>
      </c>
      <c r="G43" s="16">
        <v>200</v>
      </c>
      <c r="H43" s="17">
        <v>0</v>
      </c>
      <c r="I43" s="18">
        <v>160</v>
      </c>
      <c r="J43" s="17">
        <f t="shared" si="2"/>
        <v>0</v>
      </c>
      <c r="K43" s="48">
        <f t="shared" si="3"/>
        <v>32000</v>
      </c>
      <c r="L43" s="433" t="s">
        <v>491</v>
      </c>
      <c r="M43" s="434"/>
    </row>
    <row r="44" spans="1:13" ht="69.95" hidden="1" customHeight="1">
      <c r="A44" s="103" t="s">
        <v>505</v>
      </c>
      <c r="B44" s="45">
        <v>12</v>
      </c>
      <c r="C44" s="51" t="s">
        <v>394</v>
      </c>
      <c r="D44" s="10" t="s">
        <v>85</v>
      </c>
      <c r="E44" s="9" t="s">
        <v>54</v>
      </c>
      <c r="F44" s="9" t="s">
        <v>46</v>
      </c>
      <c r="G44" s="11">
        <v>600</v>
      </c>
      <c r="H44" s="12">
        <v>0</v>
      </c>
      <c r="I44" s="13">
        <v>190</v>
      </c>
      <c r="J44" s="12">
        <f t="shared" si="2"/>
        <v>0</v>
      </c>
      <c r="K44" s="46">
        <f t="shared" si="3"/>
        <v>114000</v>
      </c>
      <c r="L44" s="435"/>
      <c r="M44" s="436"/>
    </row>
    <row r="45" spans="1:13" ht="141" customHeight="1">
      <c r="A45" s="103" t="s">
        <v>505</v>
      </c>
      <c r="B45" s="47">
        <v>13</v>
      </c>
      <c r="C45" s="51" t="s">
        <v>395</v>
      </c>
      <c r="D45" s="15" t="s">
        <v>86</v>
      </c>
      <c r="E45" s="14" t="s">
        <v>58</v>
      </c>
      <c r="F45" s="14" t="s">
        <v>59</v>
      </c>
      <c r="G45" s="16">
        <v>11</v>
      </c>
      <c r="H45" s="17">
        <v>0</v>
      </c>
      <c r="I45" s="18">
        <v>550</v>
      </c>
      <c r="J45" s="17">
        <f t="shared" si="2"/>
        <v>0</v>
      </c>
      <c r="K45" s="48">
        <f t="shared" si="3"/>
        <v>6050</v>
      </c>
      <c r="L45" s="428" t="s">
        <v>492</v>
      </c>
      <c r="M45" s="388"/>
    </row>
    <row r="46" spans="1:13" ht="69.95" customHeight="1">
      <c r="A46" s="103" t="s">
        <v>505</v>
      </c>
      <c r="B46" s="45">
        <v>14</v>
      </c>
      <c r="C46" s="51" t="s">
        <v>395</v>
      </c>
      <c r="D46" s="10" t="s">
        <v>87</v>
      </c>
      <c r="E46" s="9" t="s">
        <v>54</v>
      </c>
      <c r="F46" s="9" t="s">
        <v>59</v>
      </c>
      <c r="G46" s="11">
        <v>1</v>
      </c>
      <c r="H46" s="12">
        <v>0</v>
      </c>
      <c r="I46" s="13">
        <v>7000</v>
      </c>
      <c r="J46" s="12">
        <f t="shared" si="2"/>
        <v>0</v>
      </c>
      <c r="K46" s="46">
        <f t="shared" si="3"/>
        <v>7000</v>
      </c>
      <c r="L46" s="433" t="s">
        <v>493</v>
      </c>
      <c r="M46" s="434"/>
    </row>
    <row r="47" spans="1:13" ht="69.95" customHeight="1">
      <c r="A47" s="103" t="s">
        <v>505</v>
      </c>
      <c r="B47" s="47">
        <v>15</v>
      </c>
      <c r="C47" s="51" t="s">
        <v>395</v>
      </c>
      <c r="D47" s="15" t="s">
        <v>88</v>
      </c>
      <c r="E47" s="14" t="s">
        <v>52</v>
      </c>
      <c r="F47" s="14" t="s">
        <v>59</v>
      </c>
      <c r="G47" s="16">
        <v>1</v>
      </c>
      <c r="H47" s="17">
        <v>0</v>
      </c>
      <c r="I47" s="18">
        <v>14000</v>
      </c>
      <c r="J47" s="17">
        <f t="shared" si="2"/>
        <v>0</v>
      </c>
      <c r="K47" s="48">
        <f t="shared" si="3"/>
        <v>14000</v>
      </c>
      <c r="L47" s="435"/>
      <c r="M47" s="436"/>
    </row>
    <row r="48" spans="1:13" ht="69.95" customHeight="1">
      <c r="A48" s="103" t="s">
        <v>505</v>
      </c>
      <c r="B48" s="45">
        <v>16</v>
      </c>
      <c r="C48" s="51" t="s">
        <v>395</v>
      </c>
      <c r="D48" s="10" t="s">
        <v>89</v>
      </c>
      <c r="E48" s="9" t="s">
        <v>58</v>
      </c>
      <c r="F48" s="9" t="s">
        <v>59</v>
      </c>
      <c r="G48" s="11">
        <v>1</v>
      </c>
      <c r="H48" s="12">
        <v>0</v>
      </c>
      <c r="I48" s="13">
        <v>3900</v>
      </c>
      <c r="J48" s="12">
        <f t="shared" si="2"/>
        <v>0</v>
      </c>
      <c r="K48" s="46">
        <f t="shared" si="3"/>
        <v>3900</v>
      </c>
      <c r="L48" s="433" t="s">
        <v>494</v>
      </c>
      <c r="M48" s="434"/>
    </row>
    <row r="49" spans="1:13" ht="69.95" customHeight="1">
      <c r="A49" s="103" t="s">
        <v>505</v>
      </c>
      <c r="B49" s="47">
        <v>17</v>
      </c>
      <c r="C49" s="51" t="s">
        <v>395</v>
      </c>
      <c r="D49" s="15" t="s">
        <v>90</v>
      </c>
      <c r="E49" s="14" t="s">
        <v>54</v>
      </c>
      <c r="F49" s="14" t="s">
        <v>59</v>
      </c>
      <c r="G49" s="16">
        <v>4</v>
      </c>
      <c r="H49" s="17">
        <v>0</v>
      </c>
      <c r="I49" s="18">
        <v>23000</v>
      </c>
      <c r="J49" s="17">
        <f t="shared" si="2"/>
        <v>0</v>
      </c>
      <c r="K49" s="48">
        <f t="shared" si="3"/>
        <v>92000</v>
      </c>
      <c r="L49" s="435"/>
      <c r="M49" s="436"/>
    </row>
    <row r="50" spans="1:13" ht="69.95" hidden="1" customHeight="1">
      <c r="A50" s="103" t="s">
        <v>505</v>
      </c>
      <c r="B50" s="45">
        <v>18</v>
      </c>
      <c r="C50" s="51" t="s">
        <v>396</v>
      </c>
      <c r="D50" s="10" t="s">
        <v>91</v>
      </c>
      <c r="E50" s="9" t="s">
        <v>58</v>
      </c>
      <c r="F50" s="9" t="s">
        <v>59</v>
      </c>
      <c r="G50" s="11">
        <v>4</v>
      </c>
      <c r="H50" s="12">
        <v>0</v>
      </c>
      <c r="I50" s="13">
        <v>224</v>
      </c>
      <c r="J50" s="12">
        <f t="shared" si="2"/>
        <v>0</v>
      </c>
      <c r="K50" s="46">
        <f t="shared" si="3"/>
        <v>896</v>
      </c>
      <c r="L50" s="424" t="s">
        <v>406</v>
      </c>
      <c r="M50" s="425"/>
    </row>
    <row r="51" spans="1:13" ht="69.95" hidden="1" customHeight="1">
      <c r="A51" s="103" t="s">
        <v>505</v>
      </c>
      <c r="B51" s="47">
        <v>19</v>
      </c>
      <c r="C51" s="51" t="s">
        <v>396</v>
      </c>
      <c r="D51" s="15" t="s">
        <v>92</v>
      </c>
      <c r="E51" s="14" t="s">
        <v>50</v>
      </c>
      <c r="F51" s="14" t="s">
        <v>59</v>
      </c>
      <c r="G51" s="16">
        <v>7</v>
      </c>
      <c r="H51" s="17">
        <v>0</v>
      </c>
      <c r="I51" s="18">
        <v>1700</v>
      </c>
      <c r="J51" s="17">
        <f t="shared" si="2"/>
        <v>0</v>
      </c>
      <c r="K51" s="48">
        <f t="shared" si="3"/>
        <v>11900</v>
      </c>
      <c r="L51" s="429"/>
      <c r="M51" s="430"/>
    </row>
    <row r="52" spans="1:13" ht="69.95" hidden="1" customHeight="1">
      <c r="A52" s="103" t="s">
        <v>505</v>
      </c>
      <c r="B52" s="45">
        <v>20</v>
      </c>
      <c r="C52" s="51" t="s">
        <v>396</v>
      </c>
      <c r="D52" s="10" t="s">
        <v>93</v>
      </c>
      <c r="E52" s="9" t="s">
        <v>54</v>
      </c>
      <c r="F52" s="9" t="s">
        <v>59</v>
      </c>
      <c r="G52" s="11">
        <v>6</v>
      </c>
      <c r="H52" s="12">
        <v>0</v>
      </c>
      <c r="I52" s="13">
        <v>1250</v>
      </c>
      <c r="J52" s="12">
        <f t="shared" si="2"/>
        <v>0</v>
      </c>
      <c r="K52" s="46">
        <f t="shared" si="3"/>
        <v>7500</v>
      </c>
      <c r="L52" s="429"/>
      <c r="M52" s="430"/>
    </row>
    <row r="53" spans="1:13" ht="69.95" hidden="1" customHeight="1">
      <c r="A53" s="103" t="s">
        <v>505</v>
      </c>
      <c r="B53" s="47">
        <v>21</v>
      </c>
      <c r="C53" s="51" t="s">
        <v>396</v>
      </c>
      <c r="D53" s="15" t="s">
        <v>94</v>
      </c>
      <c r="E53" s="14" t="s">
        <v>79</v>
      </c>
      <c r="F53" s="14" t="s">
        <v>59</v>
      </c>
      <c r="G53" s="16">
        <v>1</v>
      </c>
      <c r="H53" s="17">
        <v>0</v>
      </c>
      <c r="I53" s="18">
        <v>3600</v>
      </c>
      <c r="J53" s="17">
        <f t="shared" si="2"/>
        <v>0</v>
      </c>
      <c r="K53" s="48">
        <f t="shared" si="3"/>
        <v>3600</v>
      </c>
      <c r="L53" s="429"/>
      <c r="M53" s="430"/>
    </row>
    <row r="54" spans="1:13" ht="69.95" hidden="1" customHeight="1">
      <c r="A54" s="103" t="s">
        <v>505</v>
      </c>
      <c r="B54" s="45">
        <v>22</v>
      </c>
      <c r="C54" s="51" t="s">
        <v>396</v>
      </c>
      <c r="D54" s="10" t="s">
        <v>95</v>
      </c>
      <c r="E54" s="9" t="s">
        <v>81</v>
      </c>
      <c r="F54" s="9" t="s">
        <v>59</v>
      </c>
      <c r="G54" s="11">
        <v>2</v>
      </c>
      <c r="H54" s="12">
        <v>0</v>
      </c>
      <c r="I54" s="13">
        <v>10000</v>
      </c>
      <c r="J54" s="12">
        <f t="shared" si="2"/>
        <v>0</v>
      </c>
      <c r="K54" s="46">
        <f t="shared" si="3"/>
        <v>20000</v>
      </c>
      <c r="L54" s="426"/>
      <c r="M54" s="427"/>
    </row>
    <row r="55" spans="1:13" ht="69.95" hidden="1" customHeight="1">
      <c r="A55" s="103" t="s">
        <v>505</v>
      </c>
      <c r="B55" s="47">
        <v>23</v>
      </c>
      <c r="C55" s="51" t="s">
        <v>396</v>
      </c>
      <c r="D55" s="15" t="s">
        <v>96</v>
      </c>
      <c r="E55" s="14" t="s">
        <v>50</v>
      </c>
      <c r="F55" s="14" t="s">
        <v>59</v>
      </c>
      <c r="G55" s="16">
        <v>1</v>
      </c>
      <c r="H55" s="17">
        <v>0</v>
      </c>
      <c r="I55" s="18">
        <v>3000</v>
      </c>
      <c r="J55" s="17">
        <f t="shared" si="2"/>
        <v>0</v>
      </c>
      <c r="K55" s="48">
        <f t="shared" si="3"/>
        <v>3000</v>
      </c>
      <c r="L55" s="433" t="s">
        <v>495</v>
      </c>
      <c r="M55" s="434"/>
    </row>
    <row r="56" spans="1:13" ht="69.95" hidden="1" customHeight="1">
      <c r="A56" s="103" t="s">
        <v>505</v>
      </c>
      <c r="B56" s="45">
        <v>24</v>
      </c>
      <c r="C56" s="51" t="s">
        <v>396</v>
      </c>
      <c r="D56" s="10" t="s">
        <v>97</v>
      </c>
      <c r="E56" s="9" t="s">
        <v>54</v>
      </c>
      <c r="F56" s="9" t="s">
        <v>59</v>
      </c>
      <c r="G56" s="11">
        <v>1</v>
      </c>
      <c r="H56" s="12">
        <v>0</v>
      </c>
      <c r="I56" s="13">
        <v>6500</v>
      </c>
      <c r="J56" s="12">
        <f t="shared" si="2"/>
        <v>0</v>
      </c>
      <c r="K56" s="46">
        <f t="shared" si="3"/>
        <v>6500</v>
      </c>
      <c r="L56" s="435"/>
      <c r="M56" s="436"/>
    </row>
    <row r="57" spans="1:13" ht="69.95" hidden="1" customHeight="1">
      <c r="A57" s="103" t="s">
        <v>505</v>
      </c>
      <c r="B57" s="47">
        <v>25</v>
      </c>
      <c r="C57" s="51" t="s">
        <v>396</v>
      </c>
      <c r="D57" s="15" t="s">
        <v>98</v>
      </c>
      <c r="E57" s="14" t="s">
        <v>50</v>
      </c>
      <c r="F57" s="14" t="s">
        <v>59</v>
      </c>
      <c r="G57" s="16">
        <v>2</v>
      </c>
      <c r="H57" s="17">
        <v>0</v>
      </c>
      <c r="I57" s="18">
        <v>4300</v>
      </c>
      <c r="J57" s="17">
        <f t="shared" si="2"/>
        <v>0</v>
      </c>
      <c r="K57" s="48">
        <f t="shared" si="3"/>
        <v>8600</v>
      </c>
      <c r="L57" s="433" t="s">
        <v>408</v>
      </c>
      <c r="M57" s="434"/>
    </row>
    <row r="58" spans="1:13" ht="69.95" hidden="1" customHeight="1">
      <c r="A58" s="103" t="s">
        <v>505</v>
      </c>
      <c r="B58" s="45">
        <v>26</v>
      </c>
      <c r="C58" s="51" t="s">
        <v>396</v>
      </c>
      <c r="D58" s="10" t="s">
        <v>99</v>
      </c>
      <c r="E58" s="9" t="s">
        <v>54</v>
      </c>
      <c r="F58" s="9" t="s">
        <v>59</v>
      </c>
      <c r="G58" s="11">
        <v>5</v>
      </c>
      <c r="H58" s="12">
        <v>0</v>
      </c>
      <c r="I58" s="13">
        <v>7000</v>
      </c>
      <c r="J58" s="12">
        <f t="shared" si="2"/>
        <v>0</v>
      </c>
      <c r="K58" s="46">
        <f t="shared" si="3"/>
        <v>35000</v>
      </c>
      <c r="L58" s="435"/>
      <c r="M58" s="436"/>
    </row>
    <row r="59" spans="1:13" ht="122.25" hidden="1" customHeight="1">
      <c r="A59" s="103" t="s">
        <v>505</v>
      </c>
      <c r="B59" s="47">
        <v>27</v>
      </c>
      <c r="C59" s="51" t="s">
        <v>398</v>
      </c>
      <c r="D59" s="15" t="s">
        <v>100</v>
      </c>
      <c r="E59" s="14" t="s">
        <v>58</v>
      </c>
      <c r="F59" s="14" t="s">
        <v>59</v>
      </c>
      <c r="G59" s="16">
        <v>3</v>
      </c>
      <c r="H59" s="17">
        <v>0</v>
      </c>
      <c r="I59" s="18">
        <v>805</v>
      </c>
      <c r="J59" s="17">
        <f t="shared" si="2"/>
        <v>0</v>
      </c>
      <c r="K59" s="48">
        <f t="shared" si="3"/>
        <v>2415</v>
      </c>
      <c r="L59" s="428" t="s">
        <v>496</v>
      </c>
      <c r="M59" s="388"/>
    </row>
    <row r="60" spans="1:13" ht="99" hidden="1" customHeight="1">
      <c r="A60" s="103" t="s">
        <v>505</v>
      </c>
      <c r="B60" s="45">
        <v>28</v>
      </c>
      <c r="C60" s="51" t="s">
        <v>398</v>
      </c>
      <c r="D60" s="10" t="s">
        <v>101</v>
      </c>
      <c r="E60" s="9" t="s">
        <v>79</v>
      </c>
      <c r="F60" s="9" t="s">
        <v>59</v>
      </c>
      <c r="G60" s="11">
        <v>1</v>
      </c>
      <c r="H60" s="12">
        <v>0</v>
      </c>
      <c r="I60" s="13">
        <v>10300</v>
      </c>
      <c r="J60" s="12">
        <f t="shared" si="2"/>
        <v>0</v>
      </c>
      <c r="K60" s="46">
        <f t="shared" si="3"/>
        <v>10300</v>
      </c>
      <c r="L60" s="424" t="s">
        <v>497</v>
      </c>
      <c r="M60" s="425"/>
    </row>
    <row r="61" spans="1:13" ht="99" hidden="1" customHeight="1">
      <c r="A61" s="103" t="s">
        <v>505</v>
      </c>
      <c r="B61" s="47">
        <v>29</v>
      </c>
      <c r="C61" s="51" t="s">
        <v>398</v>
      </c>
      <c r="D61" s="15" t="s">
        <v>102</v>
      </c>
      <c r="E61" s="14" t="s">
        <v>54</v>
      </c>
      <c r="F61" s="14" t="s">
        <v>59</v>
      </c>
      <c r="G61" s="16">
        <v>5</v>
      </c>
      <c r="H61" s="17">
        <v>0</v>
      </c>
      <c r="I61" s="18">
        <v>6300</v>
      </c>
      <c r="J61" s="17">
        <f t="shared" si="2"/>
        <v>0</v>
      </c>
      <c r="K61" s="48">
        <f t="shared" si="3"/>
        <v>31500</v>
      </c>
      <c r="L61" s="429"/>
      <c r="M61" s="430"/>
    </row>
    <row r="62" spans="1:13" ht="99" hidden="1" customHeight="1">
      <c r="A62" s="103" t="s">
        <v>505</v>
      </c>
      <c r="B62" s="45">
        <v>30</v>
      </c>
      <c r="C62" s="51" t="s">
        <v>398</v>
      </c>
      <c r="D62" s="10" t="s">
        <v>103</v>
      </c>
      <c r="E62" s="9" t="s">
        <v>81</v>
      </c>
      <c r="F62" s="9" t="s">
        <v>59</v>
      </c>
      <c r="G62" s="11">
        <v>2</v>
      </c>
      <c r="H62" s="12">
        <v>0</v>
      </c>
      <c r="I62" s="13">
        <v>18000</v>
      </c>
      <c r="J62" s="12">
        <f t="shared" si="2"/>
        <v>0</v>
      </c>
      <c r="K62" s="46">
        <f t="shared" si="3"/>
        <v>36000</v>
      </c>
      <c r="L62" s="426"/>
      <c r="M62" s="427"/>
    </row>
    <row r="63" spans="1:13" ht="99" hidden="1" customHeight="1">
      <c r="A63" s="103" t="s">
        <v>505</v>
      </c>
      <c r="B63" s="47">
        <v>31</v>
      </c>
      <c r="C63" s="51" t="s">
        <v>398</v>
      </c>
      <c r="D63" s="15" t="s">
        <v>104</v>
      </c>
      <c r="E63" s="14" t="s">
        <v>54</v>
      </c>
      <c r="F63" s="14" t="s">
        <v>59</v>
      </c>
      <c r="G63" s="16">
        <v>4</v>
      </c>
      <c r="H63" s="17">
        <v>0</v>
      </c>
      <c r="I63" s="18">
        <v>9300</v>
      </c>
      <c r="J63" s="17">
        <f t="shared" si="2"/>
        <v>0</v>
      </c>
      <c r="K63" s="48">
        <f t="shared" si="3"/>
        <v>37200</v>
      </c>
      <c r="L63" s="428" t="s">
        <v>498</v>
      </c>
      <c r="M63" s="388"/>
    </row>
    <row r="64" spans="1:13" ht="99" hidden="1" customHeight="1">
      <c r="A64" s="103" t="s">
        <v>505</v>
      </c>
      <c r="B64" s="45">
        <v>32</v>
      </c>
      <c r="C64" s="51" t="s">
        <v>398</v>
      </c>
      <c r="D64" s="10" t="s">
        <v>105</v>
      </c>
      <c r="E64" s="9" t="s">
        <v>50</v>
      </c>
      <c r="F64" s="9" t="s">
        <v>59</v>
      </c>
      <c r="G64" s="11">
        <v>2</v>
      </c>
      <c r="H64" s="12">
        <v>0</v>
      </c>
      <c r="I64" s="13">
        <v>10250</v>
      </c>
      <c r="J64" s="12">
        <f t="shared" si="2"/>
        <v>0</v>
      </c>
      <c r="K64" s="46">
        <f t="shared" si="3"/>
        <v>20500</v>
      </c>
      <c r="L64" s="424" t="s">
        <v>499</v>
      </c>
      <c r="M64" s="425"/>
    </row>
    <row r="65" spans="1:13" ht="99" hidden="1" customHeight="1">
      <c r="A65" s="103" t="s">
        <v>505</v>
      </c>
      <c r="B65" s="47">
        <v>33</v>
      </c>
      <c r="C65" s="51" t="s">
        <v>398</v>
      </c>
      <c r="D65" s="15" t="s">
        <v>106</v>
      </c>
      <c r="E65" s="14" t="s">
        <v>54</v>
      </c>
      <c r="F65" s="14" t="s">
        <v>59</v>
      </c>
      <c r="G65" s="16">
        <v>8</v>
      </c>
      <c r="H65" s="17">
        <v>0</v>
      </c>
      <c r="I65" s="18">
        <v>12000</v>
      </c>
      <c r="J65" s="17">
        <f t="shared" si="2"/>
        <v>0</v>
      </c>
      <c r="K65" s="48">
        <f t="shared" si="3"/>
        <v>96000</v>
      </c>
      <c r="L65" s="426"/>
      <c r="M65" s="427"/>
    </row>
    <row r="66" spans="1:13" ht="72.75" hidden="1" customHeight="1">
      <c r="A66" s="103" t="s">
        <v>505</v>
      </c>
      <c r="B66" s="45">
        <v>34</v>
      </c>
      <c r="C66" s="51" t="s">
        <v>397</v>
      </c>
      <c r="D66" s="10" t="s">
        <v>107</v>
      </c>
      <c r="E66" s="9" t="s">
        <v>45</v>
      </c>
      <c r="F66" s="9" t="s">
        <v>59</v>
      </c>
      <c r="G66" s="11">
        <v>1</v>
      </c>
      <c r="H66" s="12">
        <v>0</v>
      </c>
      <c r="I66" s="13">
        <v>3700</v>
      </c>
      <c r="J66" s="12">
        <f t="shared" si="2"/>
        <v>0</v>
      </c>
      <c r="K66" s="46">
        <f t="shared" si="3"/>
        <v>3700</v>
      </c>
      <c r="L66" s="428" t="s">
        <v>500</v>
      </c>
      <c r="M66" s="388"/>
    </row>
    <row r="67" spans="1:13" ht="69.95" hidden="1" customHeight="1">
      <c r="A67" s="103" t="s">
        <v>505</v>
      </c>
      <c r="B67" s="47">
        <v>35</v>
      </c>
      <c r="C67" s="51" t="s">
        <v>397</v>
      </c>
      <c r="D67" s="15" t="s">
        <v>108</v>
      </c>
      <c r="E67" s="14" t="s">
        <v>45</v>
      </c>
      <c r="F67" s="14" t="s">
        <v>59</v>
      </c>
      <c r="G67" s="16">
        <v>1</v>
      </c>
      <c r="H67" s="17">
        <v>0</v>
      </c>
      <c r="I67" s="18">
        <v>900</v>
      </c>
      <c r="J67" s="17">
        <f t="shared" si="2"/>
        <v>0</v>
      </c>
      <c r="K67" s="48">
        <f t="shared" si="3"/>
        <v>900</v>
      </c>
      <c r="L67" s="428" t="s">
        <v>501</v>
      </c>
      <c r="M67" s="388"/>
    </row>
    <row r="68" spans="1:13" ht="69.95" hidden="1" customHeight="1">
      <c r="A68" s="103" t="s">
        <v>505</v>
      </c>
      <c r="B68" s="45">
        <v>36</v>
      </c>
      <c r="C68" s="50" t="s">
        <v>487</v>
      </c>
      <c r="D68" s="10" t="s">
        <v>109</v>
      </c>
      <c r="E68" s="9" t="s">
        <v>54</v>
      </c>
      <c r="F68" s="9" t="s">
        <v>59</v>
      </c>
      <c r="G68" s="11">
        <v>3</v>
      </c>
      <c r="H68" s="12">
        <v>0</v>
      </c>
      <c r="I68" s="13">
        <v>11</v>
      </c>
      <c r="J68" s="12">
        <f t="shared" si="2"/>
        <v>0</v>
      </c>
      <c r="K68" s="46">
        <f t="shared" si="3"/>
        <v>33</v>
      </c>
      <c r="L68" s="424" t="s">
        <v>502</v>
      </c>
      <c r="M68" s="425"/>
    </row>
    <row r="69" spans="1:13" ht="69.95" hidden="1" customHeight="1">
      <c r="A69" s="103" t="s">
        <v>505</v>
      </c>
      <c r="B69" s="47">
        <v>37</v>
      </c>
      <c r="C69" s="50" t="s">
        <v>487</v>
      </c>
      <c r="D69" s="15" t="s">
        <v>110</v>
      </c>
      <c r="E69" s="14" t="s">
        <v>79</v>
      </c>
      <c r="F69" s="14" t="s">
        <v>59</v>
      </c>
      <c r="G69" s="16">
        <v>1</v>
      </c>
      <c r="H69" s="17">
        <v>0</v>
      </c>
      <c r="I69" s="18">
        <v>16</v>
      </c>
      <c r="J69" s="17">
        <f t="shared" si="2"/>
        <v>0</v>
      </c>
      <c r="K69" s="48">
        <f t="shared" si="3"/>
        <v>16</v>
      </c>
      <c r="L69" s="429"/>
      <c r="M69" s="430"/>
    </row>
    <row r="70" spans="1:13" ht="69.95" hidden="1" customHeight="1">
      <c r="A70" s="103" t="s">
        <v>505</v>
      </c>
      <c r="B70" s="45">
        <v>38</v>
      </c>
      <c r="C70" s="50" t="s">
        <v>487</v>
      </c>
      <c r="D70" s="10" t="s">
        <v>111</v>
      </c>
      <c r="E70" s="9" t="s">
        <v>81</v>
      </c>
      <c r="F70" s="9" t="s">
        <v>59</v>
      </c>
      <c r="G70" s="11">
        <v>2</v>
      </c>
      <c r="H70" s="12">
        <v>0</v>
      </c>
      <c r="I70" s="13">
        <v>25</v>
      </c>
      <c r="J70" s="12">
        <f t="shared" si="2"/>
        <v>0</v>
      </c>
      <c r="K70" s="46">
        <f t="shared" si="3"/>
        <v>50</v>
      </c>
      <c r="L70" s="426"/>
      <c r="M70" s="427"/>
    </row>
    <row r="71" spans="1:13" ht="69.95" hidden="1" customHeight="1">
      <c r="A71" s="103" t="s">
        <v>505</v>
      </c>
      <c r="B71" s="47">
        <v>39</v>
      </c>
      <c r="C71" s="14" t="s">
        <v>432</v>
      </c>
      <c r="D71" s="15" t="s">
        <v>112</v>
      </c>
      <c r="E71" s="14" t="s">
        <v>73</v>
      </c>
      <c r="F71" s="14" t="s">
        <v>74</v>
      </c>
      <c r="G71" s="16">
        <v>1</v>
      </c>
      <c r="H71" s="17">
        <v>0</v>
      </c>
      <c r="I71" s="18">
        <v>2500</v>
      </c>
      <c r="J71" s="17">
        <f t="shared" si="2"/>
        <v>0</v>
      </c>
      <c r="K71" s="48">
        <f t="shared" si="3"/>
        <v>2500</v>
      </c>
      <c r="L71" s="431" t="s">
        <v>503</v>
      </c>
      <c r="M71" s="390"/>
    </row>
  </sheetData>
  <autoFilter ref="B7:M71" xr:uid="{00000000-0001-0000-0100-000000000000}">
    <filterColumn colId="1">
      <filters>
        <filter val="Gate Valve"/>
      </filters>
    </filterColumn>
    <filterColumn colId="10" showButton="0"/>
  </autoFilter>
  <mergeCells count="46">
    <mergeCell ref="K1:K2"/>
    <mergeCell ref="E2:I2"/>
    <mergeCell ref="B3:D3"/>
    <mergeCell ref="B1:B2"/>
    <mergeCell ref="D1:D2"/>
    <mergeCell ref="E1:I1"/>
    <mergeCell ref="J1:J2"/>
    <mergeCell ref="L27:M27"/>
    <mergeCell ref="L15:M15"/>
    <mergeCell ref="L16:M16"/>
    <mergeCell ref="L17:M17"/>
    <mergeCell ref="L18:M19"/>
    <mergeCell ref="L20:M20"/>
    <mergeCell ref="L21:M21"/>
    <mergeCell ref="L22:M22"/>
    <mergeCell ref="L23:M23"/>
    <mergeCell ref="L24:M24"/>
    <mergeCell ref="L25:M25"/>
    <mergeCell ref="L26:M26"/>
    <mergeCell ref="L28:M28"/>
    <mergeCell ref="L29:M29"/>
    <mergeCell ref="D30:F30"/>
    <mergeCell ref="D32:K32"/>
    <mergeCell ref="L33:M39"/>
    <mergeCell ref="L63:M63"/>
    <mergeCell ref="L40:M40"/>
    <mergeCell ref="L41:M42"/>
    <mergeCell ref="L43:M44"/>
    <mergeCell ref="L45:M45"/>
    <mergeCell ref="L46:M47"/>
    <mergeCell ref="L48:M49"/>
    <mergeCell ref="L50:M54"/>
    <mergeCell ref="L55:M56"/>
    <mergeCell ref="L57:M58"/>
    <mergeCell ref="L59:M59"/>
    <mergeCell ref="L60:M62"/>
    <mergeCell ref="L64:M65"/>
    <mergeCell ref="L66:M66"/>
    <mergeCell ref="L67:M67"/>
    <mergeCell ref="L68:M70"/>
    <mergeCell ref="L71:M71"/>
    <mergeCell ref="B5:K5"/>
    <mergeCell ref="L14:M14"/>
    <mergeCell ref="L13:M13"/>
    <mergeCell ref="L8:M12"/>
    <mergeCell ref="L7:M7"/>
  </mergeCells>
  <hyperlinks>
    <hyperlink ref="B3" location="Dashboard!A1" display="◀ بازگشت به داشبورد" xr:uid="{5177C436-66C6-4149-8550-A295BC98187D}"/>
  </hyperlinks>
  <pageMargins left="0.75" right="0.75" top="1" bottom="1" header="0.5" footer="0.5"/>
  <pageSetup paperSize="9"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A140-AC9C-4207-BB8B-A08E0C45544B}">
  <dimension ref="A1:N31"/>
  <sheetViews>
    <sheetView view="pageLayout" zoomScaleNormal="100" workbookViewId="0">
      <selection activeCell="B3" sqref="B3:D3"/>
    </sheetView>
  </sheetViews>
  <sheetFormatPr defaultRowHeight="15"/>
  <cols>
    <col min="1" max="1" width="2.7109375" customWidth="1"/>
    <col min="2" max="2" width="5.5703125" customWidth="1"/>
    <col min="3" max="3" width="25.7109375" customWidth="1"/>
    <col min="4" max="4" width="9.7109375" customWidth="1"/>
    <col min="5" max="5" width="10.140625" bestFit="1" customWidth="1"/>
    <col min="7" max="7" width="10.140625" bestFit="1" customWidth="1"/>
    <col min="9" max="9" width="10.140625" bestFit="1" customWidth="1"/>
    <col min="10" max="10" width="3.85546875" customWidth="1"/>
    <col min="14" max="14" width="9.140625" customWidth="1"/>
  </cols>
  <sheetData>
    <row r="1" spans="1:14" s="49" customFormat="1" ht="27.95" customHeight="1">
      <c r="A1" s="77"/>
      <c r="B1" s="461"/>
      <c r="C1" s="82"/>
      <c r="D1" s="463" t="s">
        <v>0</v>
      </c>
      <c r="E1" s="463"/>
      <c r="F1" s="463"/>
      <c r="G1" s="463"/>
      <c r="H1" s="463"/>
      <c r="I1" s="463"/>
      <c r="J1" s="463"/>
      <c r="K1" s="450"/>
      <c r="L1" s="35"/>
      <c r="M1" s="35"/>
    </row>
    <row r="2" spans="1:14" s="49" customFormat="1" ht="27.95" customHeight="1">
      <c r="A2" s="77"/>
      <c r="B2" s="462"/>
      <c r="C2" s="39"/>
      <c r="D2" s="463"/>
      <c r="E2" s="463"/>
      <c r="F2" s="463"/>
      <c r="G2" s="463"/>
      <c r="H2" s="463"/>
      <c r="I2" s="463"/>
      <c r="J2" s="463"/>
      <c r="K2" s="450"/>
      <c r="L2" s="35"/>
      <c r="M2" s="35"/>
    </row>
    <row r="3" spans="1:14" s="49" customFormat="1" ht="21.95" customHeight="1">
      <c r="A3" s="77"/>
      <c r="B3" s="459" t="s">
        <v>33</v>
      </c>
      <c r="C3" s="459"/>
      <c r="D3" s="460"/>
      <c r="E3" s="52"/>
      <c r="F3" s="52"/>
      <c r="G3" s="53"/>
      <c r="H3" s="53"/>
      <c r="I3" s="53"/>
      <c r="J3" s="53"/>
      <c r="K3" s="3"/>
      <c r="L3" s="35"/>
      <c r="M3" s="35"/>
    </row>
    <row r="4" spans="1:14" s="49" customFormat="1" ht="15" customHeight="1">
      <c r="A4" s="77"/>
      <c r="B4" s="1"/>
      <c r="C4" s="1"/>
      <c r="D4" s="1"/>
      <c r="E4" s="1"/>
      <c r="F4" s="1"/>
      <c r="G4" s="3"/>
      <c r="H4" s="3"/>
      <c r="I4" s="3"/>
      <c r="J4" s="3"/>
      <c r="K4" s="3"/>
      <c r="L4" s="35"/>
      <c r="M4" s="35"/>
    </row>
    <row r="5" spans="1:14" s="49" customFormat="1" ht="43.5" customHeight="1">
      <c r="A5" s="77"/>
      <c r="B5" s="451" t="s">
        <v>662</v>
      </c>
      <c r="C5" s="451"/>
      <c r="D5" s="451"/>
      <c r="E5" s="451"/>
      <c r="F5" s="451"/>
      <c r="G5" s="451"/>
      <c r="H5" s="451"/>
      <c r="I5" s="451"/>
      <c r="J5" s="451"/>
      <c r="K5" s="451"/>
      <c r="L5" s="451"/>
      <c r="M5" s="451"/>
      <c r="N5" s="451"/>
    </row>
    <row r="6" spans="1:14" s="49" customFormat="1" ht="43.5" customHeight="1">
      <c r="A6" s="77"/>
      <c r="B6" s="117" t="s">
        <v>2</v>
      </c>
      <c r="C6" s="453" t="s">
        <v>663</v>
      </c>
      <c r="D6" s="453"/>
      <c r="E6" s="453"/>
      <c r="F6" s="453" t="s">
        <v>665</v>
      </c>
      <c r="G6" s="453"/>
      <c r="H6" s="453"/>
      <c r="I6" s="453"/>
      <c r="J6" s="453"/>
      <c r="K6" s="453" t="s">
        <v>666</v>
      </c>
      <c r="L6" s="453"/>
      <c r="M6" s="453"/>
      <c r="N6" s="453"/>
    </row>
    <row r="7" spans="1:14" ht="43.5" customHeight="1">
      <c r="A7" s="52"/>
      <c r="B7" s="117">
        <v>1</v>
      </c>
      <c r="C7" s="453" t="s">
        <v>654</v>
      </c>
      <c r="D7" s="453"/>
      <c r="E7" s="453"/>
      <c r="F7" s="454">
        <f>SUM(Piping!J29)</f>
        <v>0</v>
      </c>
      <c r="G7" s="454"/>
      <c r="H7" s="454"/>
      <c r="I7" s="454"/>
      <c r="J7" s="454"/>
      <c r="K7" s="452">
        <f>SUM(Piping!K29)</f>
        <v>753296</v>
      </c>
      <c r="L7" s="452"/>
      <c r="M7" s="452"/>
      <c r="N7" s="452"/>
    </row>
    <row r="8" spans="1:14" ht="43.5" customHeight="1">
      <c r="A8" s="52"/>
      <c r="B8" s="117">
        <v>2</v>
      </c>
      <c r="C8" s="453" t="s">
        <v>398</v>
      </c>
      <c r="D8" s="453"/>
      <c r="E8" s="453"/>
      <c r="F8" s="454">
        <f>SUM('Ball Valve'!J19)</f>
        <v>0</v>
      </c>
      <c r="G8" s="454"/>
      <c r="H8" s="454"/>
      <c r="I8" s="454"/>
      <c r="J8" s="454"/>
      <c r="K8" s="452">
        <f>SUM('Ball Valve'!K19)</f>
        <v>290207.68</v>
      </c>
      <c r="L8" s="452"/>
      <c r="M8" s="452"/>
      <c r="N8" s="452"/>
    </row>
    <row r="9" spans="1:14" ht="43.5" customHeight="1">
      <c r="A9" s="52"/>
      <c r="B9" s="117">
        <v>3</v>
      </c>
      <c r="C9" s="453" t="s">
        <v>396</v>
      </c>
      <c r="D9" s="453"/>
      <c r="E9" s="453"/>
      <c r="F9" s="454">
        <f>SUM('Check Valve'!J23)</f>
        <v>0</v>
      </c>
      <c r="G9" s="454"/>
      <c r="H9" s="454"/>
      <c r="I9" s="454"/>
      <c r="J9" s="454"/>
      <c r="K9" s="452">
        <f>SUM('Check Valve'!K23)</f>
        <v>188213.03999999998</v>
      </c>
      <c r="L9" s="452"/>
      <c r="M9" s="452"/>
      <c r="N9" s="452"/>
    </row>
    <row r="10" spans="1:14" ht="43.5" customHeight="1">
      <c r="B10" s="117">
        <v>4</v>
      </c>
      <c r="C10" s="453" t="s">
        <v>395</v>
      </c>
      <c r="D10" s="453"/>
      <c r="E10" s="453"/>
      <c r="F10" s="454">
        <f>SUM('Gate Valve'!J16)</f>
        <v>0</v>
      </c>
      <c r="G10" s="454"/>
      <c r="H10" s="454"/>
      <c r="I10" s="454"/>
      <c r="J10" s="454"/>
      <c r="K10" s="452">
        <f>SUM('Gate Valve'!K16)</f>
        <v>127853.43</v>
      </c>
      <c r="L10" s="452"/>
      <c r="M10" s="452"/>
      <c r="N10" s="452"/>
    </row>
    <row r="11" spans="1:14" ht="43.5" customHeight="1">
      <c r="B11" s="117">
        <v>5</v>
      </c>
      <c r="C11" s="453" t="s">
        <v>397</v>
      </c>
      <c r="D11" s="453"/>
      <c r="E11" s="453"/>
      <c r="F11" s="454">
        <f>SUM('Chock Valve'!J13)</f>
        <v>0</v>
      </c>
      <c r="G11" s="454"/>
      <c r="H11" s="454"/>
      <c r="I11" s="454"/>
      <c r="J11" s="454"/>
      <c r="K11" s="452">
        <f>SUM('Chock Valve'!K13)</f>
        <v>10858.55</v>
      </c>
      <c r="L11" s="452"/>
      <c r="M11" s="452"/>
      <c r="N11" s="452"/>
    </row>
    <row r="12" spans="1:14" ht="43.5" customHeight="1">
      <c r="B12" s="117">
        <v>6</v>
      </c>
      <c r="C12" s="453" t="s">
        <v>399</v>
      </c>
      <c r="D12" s="453"/>
      <c r="E12" s="453"/>
      <c r="F12" s="454">
        <f>SUM('GLOBE VALVE'!J10)</f>
        <v>0</v>
      </c>
      <c r="G12" s="454"/>
      <c r="H12" s="454"/>
      <c r="I12" s="454"/>
      <c r="J12" s="454"/>
      <c r="K12" s="452">
        <f>SUM('GLOBE VALVE'!K10)</f>
        <v>19896.18</v>
      </c>
      <c r="L12" s="452"/>
      <c r="M12" s="452"/>
      <c r="N12" s="452"/>
    </row>
    <row r="13" spans="1:14" ht="43.5" customHeight="1">
      <c r="B13" s="117">
        <v>7</v>
      </c>
      <c r="C13" s="453" t="s">
        <v>664</v>
      </c>
      <c r="D13" s="453"/>
      <c r="E13" s="453"/>
      <c r="F13" s="454">
        <f>SUM('EXPANSION JOINT'!J12)</f>
        <v>0</v>
      </c>
      <c r="G13" s="454"/>
      <c r="H13" s="454"/>
      <c r="I13" s="454"/>
      <c r="J13" s="454"/>
      <c r="K13" s="452">
        <f>SUM('EXPANSION JOINT'!K12)</f>
        <v>99</v>
      </c>
      <c r="L13" s="452"/>
      <c r="M13" s="452"/>
      <c r="N13" s="452"/>
    </row>
    <row r="14" spans="1:14" ht="43.5" customHeight="1">
      <c r="B14" s="117">
        <v>8</v>
      </c>
      <c r="C14" s="453" t="s">
        <v>432</v>
      </c>
      <c r="D14" s="453"/>
      <c r="E14" s="453"/>
      <c r="F14" s="454">
        <f>SUM(bulk!J11)</f>
        <v>0</v>
      </c>
      <c r="G14" s="454"/>
      <c r="H14" s="454"/>
      <c r="I14" s="454"/>
      <c r="J14" s="454"/>
      <c r="K14" s="452">
        <f>SUM(bulk!K11)</f>
        <v>152500</v>
      </c>
      <c r="L14" s="452"/>
      <c r="M14" s="452"/>
      <c r="N14" s="452"/>
    </row>
    <row r="15" spans="1:14" ht="43.5" customHeight="1">
      <c r="B15" s="464" t="s">
        <v>667</v>
      </c>
      <c r="C15" s="464"/>
      <c r="D15" s="464"/>
      <c r="E15" s="464"/>
      <c r="F15" s="456">
        <f>SUM(F7:G14)</f>
        <v>0</v>
      </c>
      <c r="G15" s="456"/>
      <c r="H15" s="456"/>
      <c r="I15" s="456"/>
      <c r="J15" s="456"/>
      <c r="K15" s="455">
        <f>SUM(K7:N14)</f>
        <v>1542923.88</v>
      </c>
      <c r="L15" s="455"/>
      <c r="M15" s="455"/>
      <c r="N15" s="455"/>
    </row>
    <row r="16" spans="1:14">
      <c r="B16" s="35"/>
      <c r="C16" s="457"/>
      <c r="D16" s="457"/>
      <c r="E16" s="457"/>
      <c r="F16" s="457"/>
      <c r="G16" s="457"/>
      <c r="H16" s="458"/>
      <c r="I16" s="458"/>
      <c r="J16" s="458"/>
      <c r="K16" s="458"/>
      <c r="L16" s="458"/>
      <c r="M16" s="458"/>
    </row>
    <row r="17" spans="2:11">
      <c r="B17" s="55"/>
      <c r="C17" s="457"/>
      <c r="D17" s="457"/>
      <c r="E17" s="457"/>
      <c r="F17" s="457"/>
      <c r="G17" s="457"/>
      <c r="H17" s="457"/>
      <c r="I17" s="457"/>
      <c r="J17" s="457"/>
      <c r="K17" s="457"/>
    </row>
    <row r="18" spans="2:11">
      <c r="B18" s="55"/>
      <c r="C18" s="457"/>
      <c r="D18" s="457"/>
      <c r="E18" s="457"/>
      <c r="F18" s="457"/>
      <c r="G18" s="457"/>
      <c r="H18" s="457"/>
      <c r="I18" s="457"/>
      <c r="J18" s="457"/>
      <c r="K18" s="457"/>
    </row>
    <row r="19" spans="2:11">
      <c r="B19" s="55"/>
      <c r="C19" s="457"/>
      <c r="D19" s="457"/>
      <c r="E19" s="457"/>
      <c r="F19" s="457"/>
      <c r="G19" s="457"/>
      <c r="H19" s="457"/>
      <c r="I19" s="457"/>
      <c r="J19" s="457"/>
      <c r="K19" s="457"/>
    </row>
    <row r="20" spans="2:11">
      <c r="B20" s="55"/>
      <c r="C20" s="457"/>
      <c r="D20" s="457"/>
      <c r="E20" s="457"/>
      <c r="F20" s="457"/>
      <c r="G20" s="457"/>
      <c r="H20" s="457"/>
      <c r="I20" s="457"/>
      <c r="J20" s="457"/>
      <c r="K20" s="457"/>
    </row>
    <row r="21" spans="2:11">
      <c r="B21" s="55"/>
      <c r="C21" s="457"/>
      <c r="D21" s="457"/>
      <c r="E21" s="457"/>
      <c r="F21" s="457"/>
      <c r="G21" s="457"/>
      <c r="H21" s="457"/>
      <c r="I21" s="457"/>
      <c r="J21" s="457"/>
      <c r="K21" s="457"/>
    </row>
    <row r="22" spans="2:11">
      <c r="C22" s="457"/>
      <c r="D22" s="457"/>
      <c r="E22" s="457"/>
      <c r="F22" s="457"/>
      <c r="G22" s="457"/>
      <c r="H22" s="457"/>
      <c r="I22" s="457"/>
      <c r="J22" s="457"/>
      <c r="K22" s="457"/>
    </row>
    <row r="23" spans="2:11">
      <c r="C23" s="457"/>
      <c r="D23" s="457"/>
      <c r="E23" s="457"/>
      <c r="F23" s="457"/>
      <c r="G23" s="457"/>
      <c r="H23" s="457"/>
      <c r="I23" s="457"/>
      <c r="J23" s="457"/>
      <c r="K23" s="457"/>
    </row>
    <row r="24" spans="2:11">
      <c r="C24" s="457"/>
      <c r="D24" s="457"/>
      <c r="E24" s="457"/>
      <c r="F24" s="457"/>
      <c r="G24" s="457"/>
      <c r="H24" s="457"/>
      <c r="I24" s="457"/>
      <c r="J24" s="457"/>
      <c r="K24" s="457"/>
    </row>
    <row r="25" spans="2:11">
      <c r="C25" s="457"/>
      <c r="D25" s="457"/>
      <c r="E25" s="457"/>
      <c r="F25" s="457"/>
      <c r="G25" s="457"/>
      <c r="H25" s="457"/>
      <c r="I25" s="457"/>
      <c r="J25" s="457"/>
      <c r="K25" s="457"/>
    </row>
    <row r="26" spans="2:11">
      <c r="C26" s="457"/>
      <c r="D26" s="457"/>
      <c r="E26" s="457"/>
      <c r="F26" s="457"/>
      <c r="G26" s="457"/>
      <c r="H26" s="457"/>
      <c r="I26" s="457"/>
      <c r="J26" s="457"/>
      <c r="K26" s="457"/>
    </row>
    <row r="27" spans="2:11">
      <c r="C27" s="457"/>
      <c r="D27" s="457"/>
      <c r="E27" s="457"/>
      <c r="F27" s="457"/>
      <c r="G27" s="457"/>
      <c r="H27" s="457"/>
      <c r="I27" s="457"/>
      <c r="J27" s="457"/>
      <c r="K27" s="457"/>
    </row>
    <row r="28" spans="2:11">
      <c r="C28" s="457"/>
      <c r="D28" s="457"/>
      <c r="E28" s="457"/>
      <c r="F28" s="457"/>
      <c r="G28" s="457"/>
      <c r="H28" s="457"/>
      <c r="I28" s="457"/>
      <c r="J28" s="457"/>
      <c r="K28" s="457"/>
    </row>
    <row r="29" spans="2:11">
      <c r="C29" s="457"/>
      <c r="D29" s="457"/>
      <c r="E29" s="457"/>
      <c r="F29" s="457"/>
      <c r="G29" s="457"/>
      <c r="H29" s="457"/>
      <c r="I29" s="457"/>
      <c r="J29" s="457"/>
      <c r="K29" s="457"/>
    </row>
    <row r="30" spans="2:11">
      <c r="C30" s="457"/>
      <c r="D30" s="457"/>
      <c r="E30" s="457"/>
      <c r="F30" s="457"/>
      <c r="G30" s="457"/>
      <c r="H30" s="457"/>
      <c r="I30" s="457"/>
      <c r="J30" s="457"/>
      <c r="K30" s="457"/>
    </row>
    <row r="31" spans="2:11">
      <c r="C31" s="457"/>
      <c r="D31" s="457"/>
      <c r="E31" s="457"/>
      <c r="F31" s="457"/>
      <c r="G31" s="457"/>
      <c r="H31" s="457"/>
      <c r="I31" s="457"/>
      <c r="J31" s="457"/>
      <c r="K31" s="457"/>
    </row>
  </sheetData>
  <mergeCells count="83">
    <mergeCell ref="B3:D3"/>
    <mergeCell ref="B1:B2"/>
    <mergeCell ref="K1:K2"/>
    <mergeCell ref="D1:J2"/>
    <mergeCell ref="B15:E15"/>
    <mergeCell ref="C12:E12"/>
    <mergeCell ref="C13:E13"/>
    <mergeCell ref="C14:E14"/>
    <mergeCell ref="C10:E10"/>
    <mergeCell ref="C11:E11"/>
    <mergeCell ref="F10:J10"/>
    <mergeCell ref="F11:J11"/>
    <mergeCell ref="F12:J12"/>
    <mergeCell ref="F13:J13"/>
    <mergeCell ref="K7:N7"/>
    <mergeCell ref="F6:J6"/>
    <mergeCell ref="C26:E26"/>
    <mergeCell ref="C16:E16"/>
    <mergeCell ref="C17:E17"/>
    <mergeCell ref="C18:E18"/>
    <mergeCell ref="C19:E19"/>
    <mergeCell ref="C20:E20"/>
    <mergeCell ref="C21:E21"/>
    <mergeCell ref="C22:E22"/>
    <mergeCell ref="C23:E23"/>
    <mergeCell ref="C24:E24"/>
    <mergeCell ref="C25:E25"/>
    <mergeCell ref="C27:E27"/>
    <mergeCell ref="C28:E28"/>
    <mergeCell ref="C29:E29"/>
    <mergeCell ref="C30:E30"/>
    <mergeCell ref="C31:E31"/>
    <mergeCell ref="F22:H22"/>
    <mergeCell ref="I22:K22"/>
    <mergeCell ref="F19:H19"/>
    <mergeCell ref="F16:H16"/>
    <mergeCell ref="F17:H17"/>
    <mergeCell ref="I17:K17"/>
    <mergeCell ref="F18:H18"/>
    <mergeCell ref="I18:K18"/>
    <mergeCell ref="I19:K19"/>
    <mergeCell ref="F20:H20"/>
    <mergeCell ref="I20:K20"/>
    <mergeCell ref="F21:H21"/>
    <mergeCell ref="I21:K21"/>
    <mergeCell ref="I16:M16"/>
    <mergeCell ref="F23:H23"/>
    <mergeCell ref="I23:K23"/>
    <mergeCell ref="F24:H24"/>
    <mergeCell ref="I24:K24"/>
    <mergeCell ref="F25:H25"/>
    <mergeCell ref="I25:K25"/>
    <mergeCell ref="F26:H26"/>
    <mergeCell ref="I26:K26"/>
    <mergeCell ref="F27:H27"/>
    <mergeCell ref="I27:K27"/>
    <mergeCell ref="F28:H28"/>
    <mergeCell ref="I28:K28"/>
    <mergeCell ref="F29:H29"/>
    <mergeCell ref="I29:K29"/>
    <mergeCell ref="F30:H30"/>
    <mergeCell ref="I30:K30"/>
    <mergeCell ref="F31:H31"/>
    <mergeCell ref="I31:K31"/>
    <mergeCell ref="K14:N14"/>
    <mergeCell ref="K15:N15"/>
    <mergeCell ref="K12:N12"/>
    <mergeCell ref="K13:N13"/>
    <mergeCell ref="F14:J14"/>
    <mergeCell ref="F15:J15"/>
    <mergeCell ref="B5:N5"/>
    <mergeCell ref="K8:N8"/>
    <mergeCell ref="K9:N9"/>
    <mergeCell ref="K10:N10"/>
    <mergeCell ref="K11:N11"/>
    <mergeCell ref="C6:E6"/>
    <mergeCell ref="C7:E7"/>
    <mergeCell ref="C8:E8"/>
    <mergeCell ref="C9:E9"/>
    <mergeCell ref="K6:N6"/>
    <mergeCell ref="F7:J7"/>
    <mergeCell ref="F8:J8"/>
    <mergeCell ref="F9:J9"/>
  </mergeCells>
  <hyperlinks>
    <hyperlink ref="B3" location="Dashboard!A1" display="◀ بازگشت به داشبورد" xr:uid="{FE9B2197-962D-46E6-BE35-D40228136703}"/>
  </hyperlinks>
  <printOptions horizontalCentered="1"/>
  <pageMargins left="0.1" right="0.1" top="0.1" bottom="0.1" header="0.1" footer="0.1"/>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163A-B514-4663-A5E5-709EB50A136E}">
  <sheetPr codeName="Sheet10">
    <tabColor theme="3"/>
    <pageSetUpPr fitToPage="1"/>
  </sheetPr>
  <dimension ref="A1:M30"/>
  <sheetViews>
    <sheetView showGridLines="0" zoomScale="70" zoomScaleNormal="70" workbookViewId="0">
      <selection activeCell="B3" sqref="B3:D3"/>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8.5"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654</v>
      </c>
      <c r="B7" s="467"/>
      <c r="C7" s="467"/>
      <c r="D7" s="467"/>
      <c r="E7" s="467"/>
      <c r="F7" s="467"/>
      <c r="G7" s="467"/>
      <c r="H7" s="467"/>
      <c r="I7" s="467"/>
      <c r="J7" s="467"/>
      <c r="K7" s="467"/>
      <c r="L7" s="467"/>
      <c r="M7" s="468"/>
    </row>
    <row r="8" spans="1:13" ht="69.95" customHeight="1">
      <c r="A8" s="112" t="str">
        <f>'Piping &amp; Valves تجمعی'!A7</f>
        <v>unit</v>
      </c>
      <c r="B8" s="113" t="str">
        <f>'Piping &amp; Valves تجمعی'!B7</f>
        <v>ردیف (Item)</v>
      </c>
      <c r="C8" s="114" t="str">
        <f>'Piping &amp; Valves تجمعی'!C7</f>
        <v>عنوان</v>
      </c>
      <c r="D8" s="114" t="str">
        <f>'Piping &amp; Valves تجمعی'!D7</f>
        <v>شرح تجهیزات (Description) خلاصه</v>
      </c>
      <c r="E8" s="114" t="str">
        <f>'Piping &amp; Valves تجمعی'!E7</f>
        <v>سایز (Size)</v>
      </c>
      <c r="F8" s="114" t="str">
        <f>'Piping &amp; Valves تجمعی'!F7</f>
        <v>واحد (Unit)</v>
      </c>
      <c r="G8" s="114" t="str">
        <f>'Piping &amp; Valves تجمعی'!G7</f>
        <v>مقدار (Qty)</v>
      </c>
      <c r="H8" s="114" t="str">
        <f>'Piping &amp; Valves تجمعی'!H7</f>
        <v>بهای واحد ریالی (Unit Rial)</v>
      </c>
      <c r="I8" s="114" t="str">
        <f>'Piping &amp; Valves تجمعی'!I7</f>
        <v>بهای واحد ارزی (Unit Euro)</v>
      </c>
      <c r="J8" s="114" t="str">
        <f>'Piping &amp; Valves تجمعی'!J7</f>
        <v>بهای کل ریالی (Total Rial)</v>
      </c>
      <c r="K8" s="115" t="str">
        <f>'Piping &amp; Valves تجمعی'!K7</f>
        <v>بهای کل ارزی (Total Euro)</v>
      </c>
      <c r="L8" s="400" t="str">
        <f>'Piping &amp; Valves تجمعی'!L7</f>
        <v>توضیحات پیمان</v>
      </c>
      <c r="M8" s="401"/>
    </row>
    <row r="9" spans="1:13" ht="69.95" customHeight="1">
      <c r="A9" s="95" t="str">
        <f>'Piping &amp; Valves تجمعی'!A8</f>
        <v>تجهیزات لوله‌کشی تلمبه‌خانه رفسنجان</v>
      </c>
      <c r="B9" s="45">
        <f>'Piping &amp; Valves تجمعی'!B8</f>
        <v>1</v>
      </c>
      <c r="C9" s="9" t="str">
        <f>'Piping &amp; Valves تجمعی'!C8</f>
        <v>Pipe</v>
      </c>
      <c r="D9" s="10" t="str">
        <f>'Piping &amp; Valves تجمعی'!D8</f>
        <v>SCH 30 - 8" Pipe</v>
      </c>
      <c r="E9" s="9" t="str">
        <f>'Piping &amp; Valves تجمعی'!E8</f>
        <v>8"</v>
      </c>
      <c r="F9" s="9" t="str">
        <f>'Piping &amp; Valves تجمعی'!F8</f>
        <v>M</v>
      </c>
      <c r="G9" s="11">
        <f>'Piping &amp; Valves تجمعی'!G8</f>
        <v>96</v>
      </c>
      <c r="H9" s="12">
        <f>'Piping &amp; Valves تجمعی'!H8</f>
        <v>0</v>
      </c>
      <c r="I9" s="13">
        <f>'Piping &amp; Valves تجمعی'!I8</f>
        <v>45</v>
      </c>
      <c r="J9" s="12">
        <f>'Piping &amp; Valves تجمعی'!J8</f>
        <v>0</v>
      </c>
      <c r="K9" s="46">
        <f>'Piping &amp; Valves تجمعی'!K8</f>
        <v>4320</v>
      </c>
      <c r="L9" s="402" t="str">
        <f>'Piping &amp; Valves تجمعی'!L8</f>
        <v>PIPE
HFW WELDED,  API 5L GRADE B, DOUBLE RANDOM LENGTHS OF 12 M. BEVELED END,BEVEL ENDS PER ANSI B 16.25., DIMENSIONS AND TOLERANCES TO ASME B36.10, TESTING, MARKING TO API 5L AND SPECIFICTION NO. 870063-B-00-XXX-00-101-PI-0034. AND attachment 10 of contract.</v>
      </c>
      <c r="M9" s="403"/>
    </row>
    <row r="10" spans="1:13" ht="69.95" customHeight="1">
      <c r="A10" s="95" t="str">
        <f>'Piping &amp; Valves تجمعی'!A9</f>
        <v>تجهیزات لوله‌کشی تلمبه‌خانه رفسنجان</v>
      </c>
      <c r="B10" s="47">
        <f>'Piping &amp; Valves تجمعی'!B9</f>
        <v>2</v>
      </c>
      <c r="C10" s="14" t="str">
        <f>'Piping &amp; Valves تجمعی'!C9</f>
        <v>Pipe</v>
      </c>
      <c r="D10" s="15" t="str">
        <f>'Piping &amp; Valves تجمعی'!D9</f>
        <v>SCH 80 - 8" Pipe</v>
      </c>
      <c r="E10" s="14" t="str">
        <f>'Piping &amp; Valves تجمعی'!E9</f>
        <v>8"</v>
      </c>
      <c r="F10" s="14" t="str">
        <f>'Piping &amp; Valves تجمعی'!F9</f>
        <v>M</v>
      </c>
      <c r="G10" s="16">
        <f>'Piping &amp; Valves تجمعی'!G9</f>
        <v>72</v>
      </c>
      <c r="H10" s="17">
        <f>'Piping &amp; Valves تجمعی'!H9</f>
        <v>0</v>
      </c>
      <c r="I10" s="18">
        <f>'Piping &amp; Valves تجمعی'!I9</f>
        <v>45</v>
      </c>
      <c r="J10" s="17">
        <f>'Piping &amp; Valves تجمعی'!J9</f>
        <v>0</v>
      </c>
      <c r="K10" s="48">
        <f>'Piping &amp; Valves تجمعی'!K9</f>
        <v>3240</v>
      </c>
      <c r="L10" s="402"/>
      <c r="M10" s="403"/>
    </row>
    <row r="11" spans="1:13" ht="69.95" customHeight="1">
      <c r="A11" s="95" t="str">
        <f>'Piping &amp; Valves تجمعی'!A10</f>
        <v>تجهیزات لوله‌کشی تلمبه‌خانه رفسنجان</v>
      </c>
      <c r="B11" s="45">
        <f>'Piping &amp; Valves تجمعی'!B10</f>
        <v>3</v>
      </c>
      <c r="C11" s="9" t="str">
        <f>'Piping &amp; Valves تجمعی'!C10</f>
        <v>Pipe</v>
      </c>
      <c r="D11" s="10" t="str">
        <f>'Piping &amp; Valves تجمعی'!D10</f>
        <v>SCH 100 - 8" Pipe</v>
      </c>
      <c r="E11" s="9" t="str">
        <f>'Piping &amp; Valves تجمعی'!E10</f>
        <v>8"</v>
      </c>
      <c r="F11" s="9" t="str">
        <f>'Piping &amp; Valves تجمعی'!F10</f>
        <v>M</v>
      </c>
      <c r="G11" s="11">
        <f>'Piping &amp; Valves تجمعی'!G10</f>
        <v>72</v>
      </c>
      <c r="H11" s="12">
        <f>'Piping &amp; Valves تجمعی'!H10</f>
        <v>0</v>
      </c>
      <c r="I11" s="13">
        <f>'Piping &amp; Valves تجمعی'!I10</f>
        <v>45</v>
      </c>
      <c r="J11" s="12">
        <f>'Piping &amp; Valves تجمعی'!J10</f>
        <v>0</v>
      </c>
      <c r="K11" s="46">
        <f>'Piping &amp; Valves تجمعی'!K10</f>
        <v>3240</v>
      </c>
      <c r="L11" s="402"/>
      <c r="M11" s="403"/>
    </row>
    <row r="12" spans="1:13" ht="69.95" customHeight="1">
      <c r="A12" s="95" t="str">
        <f>'Piping &amp; Valves تجمعی'!A11</f>
        <v>تجهیزات لوله‌کشی تلمبه‌خانه رفسنجان</v>
      </c>
      <c r="B12" s="47">
        <f>'Piping &amp; Valves تجمعی'!B11</f>
        <v>4</v>
      </c>
      <c r="C12" s="14" t="str">
        <f>'Piping &amp; Valves تجمعی'!C11</f>
        <v>Pipe</v>
      </c>
      <c r="D12" s="15" t="str">
        <f>'Piping &amp; Valves تجمعی'!D11</f>
        <v>SCH 30 - 12" Pipe</v>
      </c>
      <c r="E12" s="14" t="str">
        <f>'Piping &amp; Valves تجمعی'!E11</f>
        <v>12"</v>
      </c>
      <c r="F12" s="14" t="str">
        <f>'Piping &amp; Valves تجمعی'!F11</f>
        <v>M</v>
      </c>
      <c r="G12" s="16">
        <f>'Piping &amp; Valves تجمعی'!G11</f>
        <v>150</v>
      </c>
      <c r="H12" s="17">
        <f>'Piping &amp; Valves تجمعی'!H11</f>
        <v>0</v>
      </c>
      <c r="I12" s="18">
        <f>'Piping &amp; Valves تجمعی'!I11</f>
        <v>64</v>
      </c>
      <c r="J12" s="17">
        <f>'Piping &amp; Valves تجمعی'!J11</f>
        <v>0</v>
      </c>
      <c r="K12" s="48">
        <f>'Piping &amp; Valves تجمعی'!K11</f>
        <v>9600</v>
      </c>
      <c r="L12" s="402"/>
      <c r="M12" s="403"/>
    </row>
    <row r="13" spans="1:13" ht="69.95" customHeight="1">
      <c r="A13" s="95" t="str">
        <f>'Piping &amp; Valves تجمعی'!A12</f>
        <v>تجهیزات لوله‌کشی تلمبه‌خانه رفسنجان</v>
      </c>
      <c r="B13" s="45">
        <f>'Piping &amp; Valves تجمعی'!B12</f>
        <v>5</v>
      </c>
      <c r="C13" s="9" t="str">
        <f>'Piping &amp; Valves تجمعی'!C12</f>
        <v>Pipe</v>
      </c>
      <c r="D13" s="10" t="str">
        <f>'Piping &amp; Valves تجمعی'!D12</f>
        <v>SCH STD - 16" Pipe</v>
      </c>
      <c r="E13" s="9" t="str">
        <f>'Piping &amp; Valves تجمعی'!E12</f>
        <v>16"</v>
      </c>
      <c r="F13" s="9" t="str">
        <f>'Piping &amp; Valves تجمعی'!F12</f>
        <v>M</v>
      </c>
      <c r="G13" s="11">
        <f>'Piping &amp; Valves تجمعی'!G12</f>
        <v>500</v>
      </c>
      <c r="H13" s="12">
        <f>'Piping &amp; Valves تجمعی'!H12</f>
        <v>0</v>
      </c>
      <c r="I13" s="13">
        <f>'Piping &amp; Valves تجمعی'!I12</f>
        <v>124</v>
      </c>
      <c r="J13" s="12">
        <f>'Piping &amp; Valves تجمعی'!J12</f>
        <v>0</v>
      </c>
      <c r="K13" s="46">
        <f>'Piping &amp; Valves تجمعی'!K12</f>
        <v>62000</v>
      </c>
      <c r="L13" s="402"/>
      <c r="M13" s="403"/>
    </row>
    <row r="14" spans="1:13" ht="129.75" customHeight="1">
      <c r="A14" s="95" t="str">
        <f>'Piping &amp; Valves تجمعی'!A13</f>
        <v>تجهیزات لوله‌کشی تلمبه‌خانه رفسنجان</v>
      </c>
      <c r="B14" s="47">
        <f>'Piping &amp; Valves تجمعی'!B13</f>
        <v>6</v>
      </c>
      <c r="C14" s="14" t="str">
        <f>'Piping &amp; Valves تجمعی'!C13</f>
        <v>Pipe</v>
      </c>
      <c r="D14" s="15" t="str">
        <f>'Piping &amp; Valves تجمعی'!D13</f>
        <v>PIPE HFW WELDED, API 5L GRADE X52, DOUBLE RANDOM LENGTHS OF 12 M. BEVELED END,BEVEL ENDS PER ANSI B 16.25., DIMENSIONS AND TOLERANCES TO ASME B36.10, TESTING, MARKING TO API 5L SCH 60 - 14" Pipe</v>
      </c>
      <c r="E14" s="14" t="str">
        <f>'Piping &amp; Valves تجمعی'!E13</f>
        <v>14"</v>
      </c>
      <c r="F14" s="14" t="str">
        <f>'Piping &amp; Valves تجمعی'!F13</f>
        <v>M</v>
      </c>
      <c r="G14" s="16">
        <f>'Piping &amp; Valves تجمعی'!G13</f>
        <v>300</v>
      </c>
      <c r="H14" s="17">
        <f>'Piping &amp; Valves تجمعی'!H13</f>
        <v>0</v>
      </c>
      <c r="I14" s="18">
        <f>'Piping &amp; Valves تجمعی'!I13</f>
        <v>165</v>
      </c>
      <c r="J14" s="17">
        <f>'Piping &amp; Valves تجمعی'!J13</f>
        <v>0</v>
      </c>
      <c r="K14" s="48">
        <f>'Piping &amp; Valves تجمعی'!K13</f>
        <v>49500</v>
      </c>
      <c r="L14" s="393" t="str">
        <f>'Piping &amp; Valves تجمعی'!L13</f>
        <v>PIPE
HFW WELDED,  API 5L GRADE X52, DOUBLE RANDOM LENGTHS OF 12 M. BEVELED END,BEVEL ENDS PER ANSI B 16.25., DIMENSIONS AND TOLERANCES TO ASME B36.10, TESTING, MARKING TO API 5L AND SPECIFICTION NO. 870063-B-00-XXX-00-101-PI-0034.AND attachment 10 of contract.</v>
      </c>
      <c r="M14" s="404"/>
    </row>
    <row r="15" spans="1:13" ht="120" customHeight="1">
      <c r="A15" s="95" t="str">
        <f>'Piping &amp; Valves تجمعی'!A14</f>
        <v>تجهیزات لوله‌کشی تلمبه‌خانه رفسنجان</v>
      </c>
      <c r="B15" s="45">
        <f>'Piping &amp; Valves تجمعی'!B14</f>
        <v>7</v>
      </c>
      <c r="C15" s="9" t="str">
        <f>'Piping &amp; Valves تجمعی'!C14</f>
        <v>Pipe</v>
      </c>
      <c r="D15" s="10" t="str">
        <f>'Piping &amp; Valves تجمعی'!D14</f>
        <v>PIPE HFW WELDED, API 5L GRADE X60, DOUBLE RANDOM LENGTHS OF 12 M. BEVELED END,BEVEL ENDS PER ANSI B 16.25., DIMENSIONS AND TOLERANCES TO ASME B36.10, TESTING, MARKING TO API 5L SCH 80 - 14" Pipe</v>
      </c>
      <c r="E15" s="9" t="str">
        <f>'Piping &amp; Valves تجمعی'!E14</f>
        <v>14"</v>
      </c>
      <c r="F15" s="9" t="str">
        <f>'Piping &amp; Valves تجمعی'!F14</f>
        <v>M</v>
      </c>
      <c r="G15" s="11">
        <f>'Piping &amp; Valves تجمعی'!G14</f>
        <v>150</v>
      </c>
      <c r="H15" s="12">
        <f>'Piping &amp; Valves تجمعی'!H14</f>
        <v>0</v>
      </c>
      <c r="I15" s="13">
        <f>'Piping &amp; Valves تجمعی'!I14</f>
        <v>208</v>
      </c>
      <c r="J15" s="12">
        <f>'Piping &amp; Valves تجمعی'!J14</f>
        <v>0</v>
      </c>
      <c r="K15" s="46">
        <f>'Piping &amp; Valves تجمعی'!K14</f>
        <v>31200</v>
      </c>
      <c r="L15" s="393" t="str">
        <f>'Piping &amp; Valves تجمعی'!L14</f>
        <v>PIPE
HFW WELDED,  API 5L GRADE X60, DOUBLE RANDOM LENGTHS OF 12 M. BEVELED END,BEVEL ENDS PER ANSI B 16.25., DIMENSIONS AND TOLERANCES TO ASME B36.10, TESTING, MARKING TO API 5L AND SPECIFICTION NO. 870063-B-00-XXX-00-101-PI-0034.AND attachment 10 of contract.</v>
      </c>
      <c r="M15" s="404"/>
    </row>
    <row r="16" spans="1:13" ht="144.75" customHeight="1">
      <c r="A16" s="95" t="str">
        <f>'Piping &amp; Valves تجمعی'!A15</f>
        <v>تجهیزات لوله‌کشی تلمبه‌خانه رفسنجان</v>
      </c>
      <c r="B16" s="47">
        <f>'Piping &amp; Valves تجمعی'!B15</f>
        <v>8</v>
      </c>
      <c r="C16" s="14" t="str">
        <f>'Piping &amp; Valves تجمعی'!C15</f>
        <v>Pipe</v>
      </c>
      <c r="D16" s="15" t="str">
        <f>'Piping &amp; Valves تجمعی'!D15</f>
        <v>PIPE HFW WELDED, API 5L GRADE X60, DOUBLE RANDOM LENGTHS OF 12 M. BEVELED END,BEVEL ENDS PER ANSI B 16.25., DIMENSIONS AND TOLERANCES TO ASME B36.10, TESTING, MARKING TO API 5L 25.4 mm - 14" Pipe</v>
      </c>
      <c r="E16" s="14" t="str">
        <f>'Piping &amp; Valves تجمعی'!E15</f>
        <v>14"</v>
      </c>
      <c r="F16" s="14" t="str">
        <f>'Piping &amp; Valves تجمعی'!F15</f>
        <v>M</v>
      </c>
      <c r="G16" s="16">
        <f>'Piping &amp; Valves تجمعی'!G15</f>
        <v>400</v>
      </c>
      <c r="H16" s="17">
        <f>'Piping &amp; Valves تجمعی'!H15</f>
        <v>0</v>
      </c>
      <c r="I16" s="18">
        <f>'Piping &amp; Valves تجمعی'!I15</f>
        <v>273</v>
      </c>
      <c r="J16" s="17">
        <f>'Piping &amp; Valves تجمعی'!J15</f>
        <v>0</v>
      </c>
      <c r="K16" s="48">
        <f>'Piping &amp; Valves تجمعی'!K15</f>
        <v>109200</v>
      </c>
      <c r="L16" s="393" t="str">
        <f>'Piping &amp; Valves تجمعی'!L15</f>
        <v>PIPE
HFW WELDED,  API 5L GRADE X60, DOUBLE RANDOM LENGTHS OF 12 M. BEVELED END,BEVEL ENDS PER ANSI B 16.25., DIMENSIONS AND TOLERANCES TO ASME B36.10, TESTING, MARKING TO API 5L AND SPECIFICTION NO. 870063-B-00-XXX-00-101-PI-0034.AND attachment 10 of contract.</v>
      </c>
      <c r="M16" s="404"/>
    </row>
    <row r="17" spans="1:13" ht="69.95" customHeight="1">
      <c r="A17" s="103" t="str">
        <f>'Piping &amp; Valves تجمعی'!A33</f>
        <v xml:space="preserve"> تجهیزات لوله‌کشی تلمبه‌خانه یزد</v>
      </c>
      <c r="B17" s="47">
        <f>'Piping &amp; Valves تجمعی'!B33</f>
        <v>1</v>
      </c>
      <c r="C17" s="51" t="str">
        <f>'Piping &amp; Valves تجمعی'!C33</f>
        <v>Pipe</v>
      </c>
      <c r="D17" s="15" t="str">
        <f>'Piping &amp; Valves تجمعی'!D33</f>
        <v>SCH 100 - 8" Pipe</v>
      </c>
      <c r="E17" s="14" t="str">
        <f>'Piping &amp; Valves تجمعی'!E33</f>
        <v>8"</v>
      </c>
      <c r="F17" s="14" t="str">
        <f>'Piping &amp; Valves تجمعی'!F33</f>
        <v>M</v>
      </c>
      <c r="G17" s="16">
        <f>'Piping &amp; Valves تجمعی'!G33</f>
        <v>60</v>
      </c>
      <c r="H17" s="17">
        <f>'Piping &amp; Valves تجمعی'!H33</f>
        <v>0</v>
      </c>
      <c r="I17" s="18">
        <f>'Piping &amp; Valves تجمعی'!I33</f>
        <v>91</v>
      </c>
      <c r="J17" s="17">
        <f>'Piping &amp; Valves تجمعی'!J33</f>
        <v>0</v>
      </c>
      <c r="K17" s="48">
        <f>'Piping &amp; Valves تجمعی'!K33</f>
        <v>5460</v>
      </c>
      <c r="L17" s="384" t="str">
        <f>'Piping &amp; Valves تجمعی'!L33</f>
        <v>PIPE
HFW WELDED.,  API 5L GRADE B, DOUBLE RANDOM LENGTHS OF 12 M. BEVELED ENDS PER ASME B 16.25., DIMENSIONS AND TOLERANCES TO ASME B36.10, TESTING, MARKING TO API 5L AND SPECIFICTION NO. 870063-B-00-XXX-00-101-PI-0034, BEVELED END,BEVEL ENDS PER ASME B 16.25.</v>
      </c>
      <c r="M17" s="465"/>
    </row>
    <row r="18" spans="1:13" ht="69.95" customHeight="1">
      <c r="A18" s="103" t="str">
        <f>'Piping &amp; Valves تجمعی'!A34</f>
        <v xml:space="preserve"> تجهیزات لوله‌کشی تلمبه‌خانه یزد</v>
      </c>
      <c r="B18" s="45">
        <f>'Piping &amp; Valves تجمعی'!B34</f>
        <v>2</v>
      </c>
      <c r="C18" s="51" t="str">
        <f>'Piping &amp; Valves تجمعی'!C34</f>
        <v>Pipe</v>
      </c>
      <c r="D18" s="10" t="str">
        <f>'Piping &amp; Valves تجمعی'!D34</f>
        <v>SCH 30 - 8" Pipe</v>
      </c>
      <c r="E18" s="9" t="str">
        <f>'Piping &amp; Valves تجمعی'!E34</f>
        <v>8"</v>
      </c>
      <c r="F18" s="9" t="str">
        <f>'Piping &amp; Valves تجمعی'!F34</f>
        <v>M</v>
      </c>
      <c r="G18" s="11">
        <f>'Piping &amp; Valves تجمعی'!G34</f>
        <v>48</v>
      </c>
      <c r="H18" s="12">
        <f>'Piping &amp; Valves تجمعی'!H34</f>
        <v>0</v>
      </c>
      <c r="I18" s="13">
        <f>'Piping &amp; Valves تجمعی'!I34</f>
        <v>44</v>
      </c>
      <c r="J18" s="12">
        <f>'Piping &amp; Valves تجمعی'!J34</f>
        <v>0</v>
      </c>
      <c r="K18" s="46">
        <f>'Piping &amp; Valves تجمعی'!K34</f>
        <v>2112</v>
      </c>
      <c r="L18" s="384"/>
      <c r="M18" s="465"/>
    </row>
    <row r="19" spans="1:13" ht="69.95" customHeight="1">
      <c r="A19" s="103" t="str">
        <f>'Piping &amp; Valves تجمعی'!A35</f>
        <v xml:space="preserve"> تجهیزات لوله‌کشی تلمبه‌خانه یزد</v>
      </c>
      <c r="B19" s="47">
        <f>'Piping &amp; Valves تجمعی'!B35</f>
        <v>3</v>
      </c>
      <c r="C19" s="51" t="str">
        <f>'Piping &amp; Valves تجمعی'!C35</f>
        <v>Pipe</v>
      </c>
      <c r="D19" s="15" t="str">
        <f>'Piping &amp; Valves تجمعی'!D35</f>
        <v>SCH 80 - 8" Pipe</v>
      </c>
      <c r="E19" s="14" t="str">
        <f>'Piping &amp; Valves تجمعی'!E35</f>
        <v>8"</v>
      </c>
      <c r="F19" s="14" t="str">
        <f>'Piping &amp; Valves تجمعی'!F35</f>
        <v>M</v>
      </c>
      <c r="G19" s="16">
        <f>'Piping &amp; Valves تجمعی'!G35</f>
        <v>24</v>
      </c>
      <c r="H19" s="17">
        <f>'Piping &amp; Valves تجمعی'!H35</f>
        <v>0</v>
      </c>
      <c r="I19" s="18">
        <f>'Piping &amp; Valves تجمعی'!I35</f>
        <v>77.5</v>
      </c>
      <c r="J19" s="17">
        <f>'Piping &amp; Valves تجمعی'!J35</f>
        <v>0</v>
      </c>
      <c r="K19" s="48">
        <f>'Piping &amp; Valves تجمعی'!K35</f>
        <v>1860</v>
      </c>
      <c r="L19" s="384"/>
      <c r="M19" s="465"/>
    </row>
    <row r="20" spans="1:13" ht="69.95" customHeight="1">
      <c r="A20" s="103" t="str">
        <f>'Piping &amp; Valves تجمعی'!A36</f>
        <v xml:space="preserve"> تجهیزات لوله‌کشی تلمبه‌خانه یزد</v>
      </c>
      <c r="B20" s="45">
        <f>'Piping &amp; Valves تجمعی'!B36</f>
        <v>4</v>
      </c>
      <c r="C20" s="51" t="str">
        <f>'Piping &amp; Valves تجمعی'!C36</f>
        <v>Pipe</v>
      </c>
      <c r="D20" s="10" t="str">
        <f>'Piping &amp; Valves تجمعی'!D36</f>
        <v>SCH 30 - 12" Pipe</v>
      </c>
      <c r="E20" s="9" t="str">
        <f>'Piping &amp; Valves تجمعی'!E36</f>
        <v>12"</v>
      </c>
      <c r="F20" s="9" t="str">
        <f>'Piping &amp; Valves تجمعی'!F36</f>
        <v>M</v>
      </c>
      <c r="G20" s="11">
        <f>'Piping &amp; Valves تجمعی'!G36</f>
        <v>200</v>
      </c>
      <c r="H20" s="12">
        <f>'Piping &amp; Valves تجمعی'!H36</f>
        <v>0</v>
      </c>
      <c r="I20" s="13">
        <f>'Piping &amp; Valves تجمعی'!I36</f>
        <v>80</v>
      </c>
      <c r="J20" s="12">
        <f>'Piping &amp; Valves تجمعی'!J36</f>
        <v>0</v>
      </c>
      <c r="K20" s="46">
        <f>'Piping &amp; Valves تجمعی'!K36</f>
        <v>16000</v>
      </c>
      <c r="L20" s="384"/>
      <c r="M20" s="465"/>
    </row>
    <row r="21" spans="1:13" ht="69.95" customHeight="1">
      <c r="A21" s="103" t="str">
        <f>'Piping &amp; Valves تجمعی'!A37</f>
        <v xml:space="preserve"> تجهیزات لوله‌کشی تلمبه‌خانه یزد</v>
      </c>
      <c r="B21" s="47">
        <f>'Piping &amp; Valves تجمعی'!B37</f>
        <v>5</v>
      </c>
      <c r="C21" s="51" t="str">
        <f>'Piping &amp; Valves تجمعی'!C37</f>
        <v>Pipe</v>
      </c>
      <c r="D21" s="15" t="str">
        <f>'Piping &amp; Valves تجمعی'!D37</f>
        <v>SCH STD - 14" Pipe</v>
      </c>
      <c r="E21" s="14" t="str">
        <f>'Piping &amp; Valves تجمعی'!E37</f>
        <v>14"</v>
      </c>
      <c r="F21" s="14" t="str">
        <f>'Piping &amp; Valves تجمعی'!F37</f>
        <v>M</v>
      </c>
      <c r="G21" s="16">
        <f>'Piping &amp; Valves تجمعی'!G37</f>
        <v>1600</v>
      </c>
      <c r="H21" s="17">
        <f>'Piping &amp; Valves تجمعی'!H37</f>
        <v>0</v>
      </c>
      <c r="I21" s="18">
        <f>'Piping &amp; Valves تجمعی'!I37</f>
        <v>100</v>
      </c>
      <c r="J21" s="17">
        <f>'Piping &amp; Valves تجمعی'!J37</f>
        <v>0</v>
      </c>
      <c r="K21" s="48">
        <f>'Piping &amp; Valves تجمعی'!K37</f>
        <v>160000</v>
      </c>
      <c r="L21" s="384"/>
      <c r="M21" s="465"/>
    </row>
    <row r="22" spans="1:13" ht="69.95" customHeight="1">
      <c r="A22" s="103" t="str">
        <f>'Piping &amp; Valves تجمعی'!A38</f>
        <v xml:space="preserve"> تجهیزات لوله‌کشی تلمبه‌خانه یزد</v>
      </c>
      <c r="B22" s="45">
        <f>'Piping &amp; Valves تجمعی'!B38</f>
        <v>6</v>
      </c>
      <c r="C22" s="51" t="str">
        <f>'Piping &amp; Valves تجمعی'!C38</f>
        <v>Pipe</v>
      </c>
      <c r="D22" s="10" t="str">
        <f>'Piping &amp; Valves تجمعی'!D38</f>
        <v>SCH STD - 16" Pipe</v>
      </c>
      <c r="E22" s="9" t="str">
        <f>'Piping &amp; Valves تجمعی'!E38</f>
        <v>16"</v>
      </c>
      <c r="F22" s="9" t="str">
        <f>'Piping &amp; Valves تجمعی'!F38</f>
        <v>M</v>
      </c>
      <c r="G22" s="11">
        <f>'Piping &amp; Valves تجمعی'!G38</f>
        <v>36</v>
      </c>
      <c r="H22" s="12">
        <f>'Piping &amp; Valves تجمعی'!H38</f>
        <v>0</v>
      </c>
      <c r="I22" s="13">
        <f>'Piping &amp; Valves تجمعی'!I38</f>
        <v>110</v>
      </c>
      <c r="J22" s="12">
        <f>'Piping &amp; Valves تجمعی'!J38</f>
        <v>0</v>
      </c>
      <c r="K22" s="46">
        <f>'Piping &amp; Valves تجمعی'!K38</f>
        <v>3960</v>
      </c>
      <c r="L22" s="384"/>
      <c r="M22" s="465"/>
    </row>
    <row r="23" spans="1:13" ht="69.95" customHeight="1">
      <c r="A23" s="103" t="str">
        <f>'Piping &amp; Valves تجمعی'!A39</f>
        <v xml:space="preserve"> تجهیزات لوله‌کشی تلمبه‌خانه یزد</v>
      </c>
      <c r="B23" s="47">
        <f>'Piping &amp; Valves تجمعی'!B39</f>
        <v>7</v>
      </c>
      <c r="C23" s="51" t="str">
        <f>'Piping &amp; Valves تجمعی'!C39</f>
        <v>Pipe</v>
      </c>
      <c r="D23" s="15" t="str">
        <f>'Piping &amp; Valves تجمعی'!D39</f>
        <v>SCH 30 - 18" Pipe</v>
      </c>
      <c r="E23" s="14" t="str">
        <f>'Piping &amp; Valves تجمعی'!E39</f>
        <v>18"</v>
      </c>
      <c r="F23" s="14" t="str">
        <f>'Piping &amp; Valves تجمعی'!F39</f>
        <v>M</v>
      </c>
      <c r="G23" s="16">
        <f>'Piping &amp; Valves تجمعی'!G39</f>
        <v>200</v>
      </c>
      <c r="H23" s="17">
        <f>'Piping &amp; Valves تجمعی'!H39</f>
        <v>0</v>
      </c>
      <c r="I23" s="18">
        <f>'Piping &amp; Valves تجمعی'!I39</f>
        <v>145</v>
      </c>
      <c r="J23" s="17">
        <f>'Piping &amp; Valves تجمعی'!J39</f>
        <v>0</v>
      </c>
      <c r="K23" s="48">
        <f>'Piping &amp; Valves تجمعی'!K39</f>
        <v>29000</v>
      </c>
      <c r="L23" s="384"/>
      <c r="M23" s="465"/>
    </row>
    <row r="24" spans="1:13" ht="135" customHeight="1">
      <c r="A24" s="103" t="str">
        <f>'Piping &amp; Valves تجمعی'!A40</f>
        <v xml:space="preserve"> تجهیزات لوله‌کشی تلمبه‌خانه یزد</v>
      </c>
      <c r="B24" s="45">
        <f>'Piping &amp; Valves تجمعی'!B40</f>
        <v>8</v>
      </c>
      <c r="C24" s="51" t="str">
        <f>'Piping &amp; Valves تجمعی'!C40</f>
        <v>Pipe</v>
      </c>
      <c r="D24" s="10" t="str">
        <f>'Piping &amp; Valves تجمعی'!D40</f>
        <v>PIPE SUBMERGED ARC WELDED., API 5L GRADE B, DOUBLE RANDOM LENGTHS OF 12 M. BEVELED ENDS PER ASME B 16.25., DIMENSIONS AND TOLERANCES TO ASME B36.10, TESTING, MARKING TO API 5L AND SPECIFICTION NO. 870063-B-00-XXX-00-101-PI-0034, BEVELED END,BEVEL ENDS PER ASME B 16.25. SCH STD - 28" Pipe</v>
      </c>
      <c r="E24" s="9" t="str">
        <f>'Piping &amp; Valves تجمعی'!E40</f>
        <v>28"</v>
      </c>
      <c r="F24" s="9" t="str">
        <f>'Piping &amp; Valves تجمعی'!F40</f>
        <v>M</v>
      </c>
      <c r="G24" s="11">
        <f>'Piping &amp; Valves تجمعی'!G40</f>
        <v>450</v>
      </c>
      <c r="H24" s="12">
        <f>'Piping &amp; Valves تجمعی'!H40</f>
        <v>0</v>
      </c>
      <c r="I24" s="13">
        <f>'Piping &amp; Valves تجمعی'!I40</f>
        <v>220</v>
      </c>
      <c r="J24" s="12">
        <f>'Piping &amp; Valves تجمعی'!J40</f>
        <v>0</v>
      </c>
      <c r="K24" s="46">
        <f>'Piping &amp; Valves تجمعی'!K40</f>
        <v>99000</v>
      </c>
      <c r="L24" s="384" t="str">
        <f>'Piping &amp; Valves تجمعی'!L40</f>
        <v>PIPE
SUBMERGED ARC WELDED.,  API 5L GRADE B, DOUBLE RANDOM LENGTHS OF 12 M. BEVELED ENDS PER ASME B 16.25., DIMENSIONS AND TOLERANCES TO ASME B36.10, TESTING, MARKING TO API 5L AND SPECIFICTION NO. 870063-B-00-XXX-00-101-PI-0034, BEVELED END,BEVEL ENDS PER ASME B 16.25.</v>
      </c>
      <c r="M24" s="465"/>
    </row>
    <row r="25" spans="1:13" ht="69.95" customHeight="1">
      <c r="A25" s="103" t="str">
        <f>'Piping &amp; Valves تجمعی'!A41</f>
        <v xml:space="preserve"> تجهیزات لوله‌کشی تلمبه‌خانه یزد</v>
      </c>
      <c r="B25" s="47">
        <f>'Piping &amp; Valves تجمعی'!B41</f>
        <v>9</v>
      </c>
      <c r="C25" s="51" t="str">
        <f>'Piping &amp; Valves تجمعی'!C41</f>
        <v>Pipe</v>
      </c>
      <c r="D25" s="15" t="str">
        <f>'Piping &amp; Valves تجمعی'!D41</f>
        <v>SCH 60 - 14" Pipe</v>
      </c>
      <c r="E25" s="14" t="str">
        <f>'Piping &amp; Valves تجمعی'!E41</f>
        <v>14"</v>
      </c>
      <c r="F25" s="14" t="str">
        <f>'Piping &amp; Valves تجمعی'!F41</f>
        <v>M</v>
      </c>
      <c r="G25" s="16">
        <f>'Piping &amp; Valves تجمعی'!G41</f>
        <v>90</v>
      </c>
      <c r="H25" s="17">
        <f>'Piping &amp; Valves تجمعی'!H41</f>
        <v>0</v>
      </c>
      <c r="I25" s="18">
        <f>'Piping &amp; Valves تجمعی'!I41</f>
        <v>170</v>
      </c>
      <c r="J25" s="17">
        <f>'Piping &amp; Valves تجمعی'!J41</f>
        <v>0</v>
      </c>
      <c r="K25" s="48">
        <f>'Piping &amp; Valves تجمعی'!K41</f>
        <v>15300</v>
      </c>
      <c r="L25" s="384" t="str">
        <f>'Piping &amp; Valves تجمعی'!L41</f>
        <v>PIPE
HFW WELDED.,  API 5L GRADE X52, DOUBLE RANDOM LENGTHS OF 12 M. BEVELED ENDS PER ASME B 16.25., DIMENSIONS AND TOLERANCES TO ASME B36.10, TESTING, MARKING TO API 5L AND SPECIFICTION NO. 870063-B-00-XXX-00-101-PI-0034.
 BEVELED END,BEVEL ENDS PER ASME B 16.25.</v>
      </c>
      <c r="M25" s="465"/>
    </row>
    <row r="26" spans="1:13" ht="69.95" customHeight="1">
      <c r="A26" s="103" t="str">
        <f>'Piping &amp; Valves تجمعی'!A42</f>
        <v xml:space="preserve"> تجهیزات لوله‌کشی تلمبه‌خانه یزد</v>
      </c>
      <c r="B26" s="45">
        <f>'Piping &amp; Valves تجمعی'!B42</f>
        <v>10</v>
      </c>
      <c r="C26" s="51" t="str">
        <f>'Piping &amp; Valves تجمعی'!C42</f>
        <v>Pipe</v>
      </c>
      <c r="D26" s="10" t="str">
        <f>'Piping &amp; Valves تجمعی'!D42</f>
        <v>SCH 60 - 16" Pipe</v>
      </c>
      <c r="E26" s="9" t="str">
        <f>'Piping &amp; Valves تجمعی'!E42</f>
        <v>16"</v>
      </c>
      <c r="F26" s="9" t="str">
        <f>'Piping &amp; Valves تجمعی'!F42</f>
        <v>M</v>
      </c>
      <c r="G26" s="11">
        <f>'Piping &amp; Valves تجمعی'!G42</f>
        <v>12</v>
      </c>
      <c r="H26" s="12">
        <f>'Piping &amp; Valves تجمعی'!H42</f>
        <v>0</v>
      </c>
      <c r="I26" s="13">
        <f>'Piping &amp; Valves تجمعی'!I42</f>
        <v>192</v>
      </c>
      <c r="J26" s="12">
        <f>'Piping &amp; Valves تجمعی'!J42</f>
        <v>0</v>
      </c>
      <c r="K26" s="46">
        <f>'Piping &amp; Valves تجمعی'!K42</f>
        <v>2304</v>
      </c>
      <c r="L26" s="384"/>
      <c r="M26" s="465"/>
    </row>
    <row r="27" spans="1:13" ht="69.95" customHeight="1">
      <c r="A27" s="103" t="str">
        <f>'Piping &amp; Valves تجمعی'!A43</f>
        <v xml:space="preserve"> تجهیزات لوله‌کشی تلمبه‌خانه یزد</v>
      </c>
      <c r="B27" s="47">
        <f>'Piping &amp; Valves تجمعی'!B43</f>
        <v>11</v>
      </c>
      <c r="C27" s="51" t="str">
        <f>'Piping &amp; Valves تجمعی'!C43</f>
        <v>Pipe</v>
      </c>
      <c r="D27" s="15" t="str">
        <f>'Piping &amp; Valves تجمعی'!D43</f>
        <v>SCH 80 - 12" Pipe</v>
      </c>
      <c r="E27" s="14" t="str">
        <f>'Piping &amp; Valves تجمعی'!E43</f>
        <v>12"</v>
      </c>
      <c r="F27" s="14" t="str">
        <f>'Piping &amp; Valves تجمعی'!F43</f>
        <v>M</v>
      </c>
      <c r="G27" s="16">
        <f>'Piping &amp; Valves تجمعی'!G43</f>
        <v>200</v>
      </c>
      <c r="H27" s="17">
        <f>'Piping &amp; Valves تجمعی'!H43</f>
        <v>0</v>
      </c>
      <c r="I27" s="18">
        <f>'Piping &amp; Valves تجمعی'!I43</f>
        <v>160</v>
      </c>
      <c r="J27" s="17">
        <f>'Piping &amp; Valves تجمعی'!J43</f>
        <v>0</v>
      </c>
      <c r="K27" s="48">
        <f>'Piping &amp; Valves تجمعی'!K43</f>
        <v>32000</v>
      </c>
      <c r="L27" s="384" t="str">
        <f>'Piping &amp; Valves تجمعی'!L43</f>
        <v>PIPE
HFW WELDED.,  API 5L GRADE X60, DOUBLE RANDOM LENGTHS OF 12 M. BEVELED ENDS PER ASME B 16.25., DIMENSIONS AND TOLERANCES TO ASME B36.10, TESTING, MARKING TO API 5L AND SPECIFICTION NO. 870063-B-00-XXX-00-101-PI-0034.
 BEVELED END,BEVEL ENDS PER ASME B 16.25.</v>
      </c>
      <c r="M27" s="465"/>
    </row>
    <row r="28" spans="1:13" ht="69.95" customHeight="1">
      <c r="A28" s="103" t="str">
        <f>'Piping &amp; Valves تجمعی'!A44</f>
        <v xml:space="preserve"> تجهیزات لوله‌کشی تلمبه‌خانه یزد</v>
      </c>
      <c r="B28" s="45">
        <f>'Piping &amp; Valves تجمعی'!B44</f>
        <v>12</v>
      </c>
      <c r="C28" s="51" t="str">
        <f>'Piping &amp; Valves تجمعی'!C44</f>
        <v>Pipe</v>
      </c>
      <c r="D28" s="10" t="str">
        <f>'Piping &amp; Valves تجمعی'!D44</f>
        <v>SCH 80 - 14" Pipe</v>
      </c>
      <c r="E28" s="9" t="str">
        <f>'Piping &amp; Valves تجمعی'!E44</f>
        <v>14"</v>
      </c>
      <c r="F28" s="9" t="str">
        <f>'Piping &amp; Valves تجمعی'!F44</f>
        <v>M</v>
      </c>
      <c r="G28" s="11">
        <f>'Piping &amp; Valves تجمعی'!G44</f>
        <v>600</v>
      </c>
      <c r="H28" s="12">
        <f>'Piping &amp; Valves تجمعی'!H44</f>
        <v>0</v>
      </c>
      <c r="I28" s="13">
        <f>'Piping &amp; Valves تجمعی'!I44</f>
        <v>190</v>
      </c>
      <c r="J28" s="12">
        <f>'Piping &amp; Valves تجمعی'!J44</f>
        <v>0</v>
      </c>
      <c r="K28" s="46">
        <f>'Piping &amp; Valves تجمعی'!K44</f>
        <v>114000</v>
      </c>
      <c r="L28" s="384"/>
      <c r="M28" s="465"/>
    </row>
    <row r="29" spans="1:13" ht="24.75" thickBot="1">
      <c r="A29" s="75"/>
      <c r="B29" s="395" t="s">
        <v>75</v>
      </c>
      <c r="C29" s="396"/>
      <c r="D29" s="397"/>
      <c r="E29" s="397"/>
      <c r="F29" s="397"/>
      <c r="G29" s="56"/>
      <c r="H29" s="57"/>
      <c r="I29" s="58"/>
      <c r="J29" s="56">
        <f>SUM(J9:J28)</f>
        <v>0</v>
      </c>
      <c r="K29" s="59">
        <f>SUM(K9:K28)</f>
        <v>753296</v>
      </c>
    </row>
    <row r="30" spans="1:13" ht="24.75" thickTop="1"/>
  </sheetData>
  <mergeCells count="19">
    <mergeCell ref="A7:M7"/>
    <mergeCell ref="L8:M8"/>
    <mergeCell ref="B3:D3"/>
    <mergeCell ref="B5:K5"/>
    <mergeCell ref="B1:B2"/>
    <mergeCell ref="D1:D2"/>
    <mergeCell ref="E1:I1"/>
    <mergeCell ref="J1:J2"/>
    <mergeCell ref="K1:K2"/>
    <mergeCell ref="E2:I2"/>
    <mergeCell ref="L25:M26"/>
    <mergeCell ref="L27:M28"/>
    <mergeCell ref="B29:F29"/>
    <mergeCell ref="L9:M13"/>
    <mergeCell ref="L14:M14"/>
    <mergeCell ref="L15:M15"/>
    <mergeCell ref="L16:M16"/>
    <mergeCell ref="L17:M23"/>
    <mergeCell ref="L24:M24"/>
  </mergeCells>
  <hyperlinks>
    <hyperlink ref="B3" location="Dashboard!A1" display="◀ بازگشت به داشبورد" xr:uid="{117EA454-278D-46AA-964D-A0243ED49E60}"/>
  </hyperlinks>
  <pageMargins left="0.75" right="0.75" top="1" bottom="1" header="0.5" footer="0.5"/>
  <pageSetup paperSize="9"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BB9B4-7B4A-457D-BF68-1070142E69AA}">
  <sheetPr codeName="Sheet11">
    <tabColor theme="3"/>
    <pageSetUpPr fitToPage="1"/>
  </sheetPr>
  <dimension ref="A1:M20"/>
  <sheetViews>
    <sheetView showGridLines="0" zoomScale="70" zoomScaleNormal="70" workbookViewId="0">
      <selection activeCell="B3" sqref="B3:D3"/>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655</v>
      </c>
      <c r="B7" s="467"/>
      <c r="C7" s="467"/>
      <c r="D7" s="467"/>
      <c r="E7" s="467"/>
      <c r="F7" s="467"/>
      <c r="G7" s="467"/>
      <c r="H7" s="467"/>
      <c r="I7" s="467"/>
      <c r="J7" s="467"/>
      <c r="K7" s="467"/>
      <c r="L7" s="467"/>
      <c r="M7" s="468"/>
    </row>
    <row r="8" spans="1:13" ht="33">
      <c r="A8" s="71" t="s">
        <v>506</v>
      </c>
      <c r="B8" s="97" t="s">
        <v>35</v>
      </c>
      <c r="C8" s="34" t="s">
        <v>393</v>
      </c>
      <c r="D8" s="34" t="s">
        <v>523</v>
      </c>
      <c r="E8" s="34" t="s">
        <v>37</v>
      </c>
      <c r="F8" s="34" t="s">
        <v>38</v>
      </c>
      <c r="G8" s="34" t="s">
        <v>39</v>
      </c>
      <c r="H8" s="34" t="s">
        <v>40</v>
      </c>
      <c r="I8" s="34" t="s">
        <v>41</v>
      </c>
      <c r="J8" s="34" t="s">
        <v>42</v>
      </c>
      <c r="K8" s="44" t="s">
        <v>43</v>
      </c>
      <c r="L8" s="423" t="s">
        <v>480</v>
      </c>
      <c r="M8" s="386"/>
    </row>
    <row r="9" spans="1:13" ht="127.5" customHeight="1">
      <c r="A9" s="95" t="str">
        <f>'Piping &amp; Valves تجمعی'!A25</f>
        <v>تجهیزات لوله‌کشی تلمبه‌خانه رفسنجان</v>
      </c>
      <c r="B9" s="47">
        <f>'Piping &amp; Valves تجمعی'!B25</f>
        <v>18</v>
      </c>
      <c r="C9" s="14" t="str">
        <f>'Piping &amp; Valves تجمعی'!C25</f>
        <v>Ball Valve</v>
      </c>
      <c r="D9" s="15" t="str">
        <f>'Piping &amp; Valves تجمعی'!D25</f>
        <v>BALL VALVE FLANGED, RTJ, SERRATED FINISH, CLASS 1500. REDUCED BORE, DESIGN CODE: ASME B16.34, BOLTED BONNET, BOLTED GLAND, GEAR OPERATED, RENEWABLE SEAT, ANTI BLOWOUT STEM. BODY: C.S., ASTM A 216 GR. WCB TRIM : F6 1500# 8" Ball Valve</v>
      </c>
      <c r="E9" s="14" t="str">
        <f>'Piping &amp; Valves تجمعی'!E25</f>
        <v>8"</v>
      </c>
      <c r="F9" s="14" t="str">
        <f>'Piping &amp; Valves تجمعی'!F25</f>
        <v>NO</v>
      </c>
      <c r="G9" s="16">
        <f>'Piping &amp; Valves تجمعی'!G25</f>
        <v>1</v>
      </c>
      <c r="H9" s="17">
        <f>'Piping &amp; Valves تجمعی'!H25</f>
        <v>0</v>
      </c>
      <c r="I9" s="18">
        <f>'Piping &amp; Valves تجمعی'!I25</f>
        <v>6446.8</v>
      </c>
      <c r="J9" s="17">
        <f>'Piping &amp; Valves تجمعی'!J25</f>
        <v>0</v>
      </c>
      <c r="K9" s="48">
        <f>'Piping &amp; Valves تجمعی'!K25</f>
        <v>6446.8</v>
      </c>
      <c r="L9" s="416" t="str">
        <f>'Piping &amp; Valves تجمعی'!L25</f>
        <v>BALL VALVE
FLANGED, RTJ, SERRATED  FINISH, CLASS 1500. REDUCED BORE, 
DESIGN CODE: ASME B16.34 , BOLTED BONNET , BOLTED GLAND, GEAR OPERATED, RENEWABLE SEAT, ANTI BLOWOUT STEM.    
BODY: C.S., ASTM A 216 GR. WCB 
TRIM  : F6
PACKING :SPIRAL WOUND,ABESTOS FREE MATERIAL
EQUIPPED WITH LIMIT SWITCH</v>
      </c>
      <c r="M9" s="393"/>
    </row>
    <row r="10" spans="1:13" ht="127.5" customHeight="1">
      <c r="A10" s="95" t="str">
        <f>'Piping &amp; Valves تجمعی'!A26</f>
        <v>تجهیزات لوله‌کشی تلمبه‌خانه رفسنجان</v>
      </c>
      <c r="B10" s="45">
        <f>'Piping &amp; Valves تجمعی'!B26</f>
        <v>19</v>
      </c>
      <c r="C10" s="9" t="str">
        <f>'Piping &amp; Valves تجمعی'!C26</f>
        <v>Ball Valve</v>
      </c>
      <c r="D10" s="10" t="str">
        <f>'Piping &amp; Valves تجمعی'!D26</f>
        <v>BALL VALVE FLANGED, RTJ, SERRATED FINISH, CLASS 1500. REDUCED BORE, DESIGN CODE: ASME B16.34, BOLTED BONNET, BOLTED GLAND, GEAR OPERATED, RENEWABLE SEAT, ANTI BLOWOUT STEM. BODY: C.S., ASTM A 216 GR. WCB TRIM : F6 GASKET: SPIRAL WOUND, ASBESTOS FREE MATERIAL EQUIPPED 1500# 14" Ball Valve</v>
      </c>
      <c r="E10" s="9" t="str">
        <f>'Piping &amp; Valves تجمعی'!E26</f>
        <v>14"</v>
      </c>
      <c r="F10" s="9" t="str">
        <f>'Piping &amp; Valves تجمعی'!F26</f>
        <v>NO</v>
      </c>
      <c r="G10" s="11">
        <f>'Piping &amp; Valves تجمعی'!G26</f>
        <v>2</v>
      </c>
      <c r="H10" s="12">
        <f>'Piping &amp; Valves تجمعی'!H26</f>
        <v>0</v>
      </c>
      <c r="I10" s="13">
        <f>'Piping &amp; Valves تجمعی'!I26</f>
        <v>14819.15</v>
      </c>
      <c r="J10" s="12">
        <f>'Piping &amp; Valves تجمعی'!J26</f>
        <v>0</v>
      </c>
      <c r="K10" s="46">
        <f>'Piping &amp; Valves تجمعی'!K26</f>
        <v>29638.3</v>
      </c>
      <c r="L10" s="416" t="str">
        <f>'Piping &amp; Valves تجمعی'!L26</f>
        <v>BALL VALVE
FLANGED, RTJ , SERRATED  FINISH, CLASS 1500. REDUCED BORE, 
DESIGN CODE: ASME B16.34 , BOLTED BONNET , BOLTED GLAND, GEAR OPERATED, RENEWABLE SEAT, ANTI BLOWOUT STEM.    
BODY: C.S., ASTM A 216 GR. WCB 
TRIM  : F6
PACKING :SPIRAL WOUND,ABESTOS FREE MATERIAL
EQUIPPED WITH LIMIT SWITCH</v>
      </c>
      <c r="M10" s="393"/>
    </row>
    <row r="11" spans="1:13" ht="127.5" customHeight="1">
      <c r="A11" s="95" t="str">
        <f>'Piping &amp; Valves تجمعی'!A27</f>
        <v>تجهیزات لوله‌کشی تلمبه‌خانه رفسنجان</v>
      </c>
      <c r="B11" s="47">
        <f>'Piping &amp; Valves تجمعی'!B27</f>
        <v>20</v>
      </c>
      <c r="C11" s="14" t="str">
        <f>'Piping &amp; Valves تجمعی'!C27</f>
        <v>Ball Valve</v>
      </c>
      <c r="D11" s="15" t="str">
        <f>'Piping &amp; Valves تجمعی'!D27</f>
        <v>BALL VALVE FLANGED, RAISED FACE, SERRATED FINISH, CLASS 600. REDUCED BORE, DESIGN CODE: ASME B16.34, BOLTED BONNET, BOLTED GLAND, GEAR OPERATED, RENEWABLE SEAT, ANTI BLOWOUT STEM. BODY: C.S., ASTM A 216 GR. WCB TRIM : F6 600# 14" Ball Valve</v>
      </c>
      <c r="E11" s="14" t="str">
        <f>'Piping &amp; Valves تجمعی'!E27</f>
        <v>14"</v>
      </c>
      <c r="F11" s="14" t="str">
        <f>'Piping &amp; Valves تجمعی'!F27</f>
        <v>NO</v>
      </c>
      <c r="G11" s="16">
        <f>'Piping &amp; Valves تجمعی'!G27</f>
        <v>2</v>
      </c>
      <c r="H11" s="17">
        <f>'Piping &amp; Valves تجمعی'!H27</f>
        <v>0</v>
      </c>
      <c r="I11" s="18">
        <f>'Piping &amp; Valves تجمعی'!I27</f>
        <v>10103.790000000001</v>
      </c>
      <c r="J11" s="17">
        <f>'Piping &amp; Valves تجمعی'!J27</f>
        <v>0</v>
      </c>
      <c r="K11" s="48">
        <f>'Piping &amp; Valves تجمعی'!K27</f>
        <v>20207.580000000002</v>
      </c>
      <c r="L11" s="416" t="str">
        <f>'Piping &amp; Valves تجمعی'!L27</f>
        <v>BALL VALVE
FLANGED, RAISED FACE, SERRATED  FINISH, CLASS 600. REDUCED BORE, 
DESIGN CODE: ASME B16.34 , BOLTED BONNET , BOLTED GLAND, GEAR OPERATED, RENEWABLE SEAT, ANTI BLOWOUT STEM.    
BODY: C.S., ASTM A 216 GR. WCB 
TRIM  : F6
PACKING :SPIRAL WOUND,ABESTOS FREE MATERIAL
EQUIPPED WITH LIMIT SWITCH</v>
      </c>
      <c r="M11" s="393"/>
    </row>
    <row r="12" spans="1:13" ht="127.5" customHeight="1">
      <c r="A12" s="103" t="str">
        <f>'Piping &amp; Valves تجمعی'!A59</f>
        <v xml:space="preserve"> تجهیزات لوله‌کشی تلمبه‌خانه یزد</v>
      </c>
      <c r="B12" s="47">
        <f>'Piping &amp; Valves تجمعی'!B59</f>
        <v>27</v>
      </c>
      <c r="C12" s="51" t="str">
        <f>'Piping &amp; Valves تجمعی'!C59</f>
        <v>Ball Valve</v>
      </c>
      <c r="D12" s="15" t="str">
        <f>'Piping &amp; Valves تجمعی'!D59</f>
        <v>BALL VALVE FLANGED, CLASS 150, 150# 6" Ball Valve</v>
      </c>
      <c r="E12" s="14" t="str">
        <f>'Piping &amp; Valves تجمعی'!E59</f>
        <v>6"</v>
      </c>
      <c r="F12" s="14" t="str">
        <f>'Piping &amp; Valves تجمعی'!F59</f>
        <v>NO</v>
      </c>
      <c r="G12" s="16">
        <f>'Piping &amp; Valves تجمعی'!G59</f>
        <v>3</v>
      </c>
      <c r="H12" s="17">
        <f>'Piping &amp; Valves تجمعی'!H59</f>
        <v>0</v>
      </c>
      <c r="I12" s="18">
        <f>'Piping &amp; Valves تجمعی'!I59</f>
        <v>805</v>
      </c>
      <c r="J12" s="17">
        <f>'Piping &amp; Valves تجمعی'!J59</f>
        <v>0</v>
      </c>
      <c r="K12" s="48">
        <f>'Piping &amp; Valves تجمعی'!K59</f>
        <v>2415</v>
      </c>
      <c r="L12" s="428" t="str">
        <f>'Piping &amp; Valves تجمعی'!L59</f>
        <v>BALL VALVE
FLANGED, RAISED FACE, SERRATED  FINISH, CLASS150. REDUCED BORE, TRUNNION MONTED , FIRE SAFE. SECONDARY SEAL, ANTI STATIC DEVICE,, WRENCH OPERATED. TWO PIECES DESIGN, ANTI BLOWOUT STEM, DOUBLE BLOCK &amp; BLEED.     
DESIGN CODE :ASME B16.34
BODY: C.S., ASTM A 216 GR. WCB 
TRIM  : F6 
BALL &amp; STEM : 13 % CHROME OR  C.S. + 0.003" ENP
SEAT &amp; SEAL:PTFE</v>
      </c>
      <c r="M12" s="388"/>
    </row>
    <row r="13" spans="1:13" ht="127.5" customHeight="1">
      <c r="A13" s="103" t="str">
        <f>'Piping &amp; Valves تجمعی'!A60</f>
        <v xml:space="preserve"> تجهیزات لوله‌کشی تلمبه‌خانه یزد</v>
      </c>
      <c r="B13" s="45">
        <f>'Piping &amp; Valves تجمعی'!B60</f>
        <v>28</v>
      </c>
      <c r="C13" s="51" t="str">
        <f>'Piping &amp; Valves تجمعی'!C60</f>
        <v>Ball Valve</v>
      </c>
      <c r="D13" s="10" t="str">
        <f>'Piping &amp; Valves تجمعی'!D60</f>
        <v>BALL VALVE FLANGED, CLASS 150, 150# 18" Ball Valve</v>
      </c>
      <c r="E13" s="9" t="str">
        <f>'Piping &amp; Valves تجمعی'!E60</f>
        <v>18"</v>
      </c>
      <c r="F13" s="9" t="str">
        <f>'Piping &amp; Valves تجمعی'!F60</f>
        <v>NO</v>
      </c>
      <c r="G13" s="11">
        <f>'Piping &amp; Valves تجمعی'!G60</f>
        <v>1</v>
      </c>
      <c r="H13" s="12">
        <f>'Piping &amp; Valves تجمعی'!H60</f>
        <v>0</v>
      </c>
      <c r="I13" s="13">
        <f>'Piping &amp; Valves تجمعی'!I60</f>
        <v>10300</v>
      </c>
      <c r="J13" s="12">
        <f>'Piping &amp; Valves تجمعی'!J60</f>
        <v>0</v>
      </c>
      <c r="K13" s="46">
        <f>'Piping &amp; Valves تجمعی'!K60</f>
        <v>10300</v>
      </c>
      <c r="L13" s="424" t="str">
        <f>'Piping &amp; Valves تجمعی'!L60</f>
        <v>BALL  VALVE
FLANGED, RAISED FACE, SERRATED  FINISH, CLASS150. REDUCED BORE, TRUNNION MONTED , FIRE SAFE. SECONDARY SEAL, ANTI STATIC DEVICE,, GEAR OPERATED. TWO PIECES DESIGN, ANTI BLOWOUT STEM, DOUBLE BLOCK &amp; BLEED.     
DESIGN CODE :ASME B16.34
BODY: C.S., ASTM A 216 GR. WCB 
TRIM  : F6 
BALL &amp; STEM : 13 % CHROME OR  C.S. + 0.003" ENP
SEAT &amp; SEAL:PTFE</v>
      </c>
      <c r="M13" s="425"/>
    </row>
    <row r="14" spans="1:13" ht="127.5" customHeight="1">
      <c r="A14" s="103" t="str">
        <f>'Piping &amp; Valves تجمعی'!A61</f>
        <v xml:space="preserve"> تجهیزات لوله‌کشی تلمبه‌خانه یزد</v>
      </c>
      <c r="B14" s="47">
        <f>'Piping &amp; Valves تجمعی'!B61</f>
        <v>29</v>
      </c>
      <c r="C14" s="51" t="str">
        <f>'Piping &amp; Valves تجمعی'!C61</f>
        <v>Ball Valve</v>
      </c>
      <c r="D14" s="15" t="str">
        <f>'Piping &amp; Valves تجمعی'!D61</f>
        <v>BALL VALVE FLANGED, CLASS 150, 150# 14" Ball Valve</v>
      </c>
      <c r="E14" s="14" t="str">
        <f>'Piping &amp; Valves تجمعی'!E61</f>
        <v>14"</v>
      </c>
      <c r="F14" s="14" t="str">
        <f>'Piping &amp; Valves تجمعی'!F61</f>
        <v>NO</v>
      </c>
      <c r="G14" s="16">
        <f>'Piping &amp; Valves تجمعی'!G61</f>
        <v>5</v>
      </c>
      <c r="H14" s="17">
        <f>'Piping &amp; Valves تجمعی'!H61</f>
        <v>0</v>
      </c>
      <c r="I14" s="18">
        <f>'Piping &amp; Valves تجمعی'!I61</f>
        <v>6300</v>
      </c>
      <c r="J14" s="17">
        <f>'Piping &amp; Valves تجمعی'!J61</f>
        <v>0</v>
      </c>
      <c r="K14" s="48">
        <f>'Piping &amp; Valves تجمعی'!K61</f>
        <v>31500</v>
      </c>
      <c r="L14" s="429"/>
      <c r="M14" s="430"/>
    </row>
    <row r="15" spans="1:13" ht="127.5" customHeight="1">
      <c r="A15" s="103" t="str">
        <f>'Piping &amp; Valves تجمعی'!A62</f>
        <v xml:space="preserve"> تجهیزات لوله‌کشی تلمبه‌خانه یزد</v>
      </c>
      <c r="B15" s="45">
        <f>'Piping &amp; Valves تجمعی'!B62</f>
        <v>30</v>
      </c>
      <c r="C15" s="51" t="str">
        <f>'Piping &amp; Valves تجمعی'!C62</f>
        <v>Ball Valve</v>
      </c>
      <c r="D15" s="10" t="str">
        <f>'Piping &amp; Valves تجمعی'!D62</f>
        <v>BALL VALVE FLANGED, CLASS 150, 150# 28" Ball Valve</v>
      </c>
      <c r="E15" s="9" t="str">
        <f>'Piping &amp; Valves تجمعی'!E62</f>
        <v>28"</v>
      </c>
      <c r="F15" s="9" t="str">
        <f>'Piping &amp; Valves تجمعی'!F62</f>
        <v>NO</v>
      </c>
      <c r="G15" s="11">
        <f>'Piping &amp; Valves تجمعی'!G62</f>
        <v>2</v>
      </c>
      <c r="H15" s="12">
        <f>'Piping &amp; Valves تجمعی'!H62</f>
        <v>0</v>
      </c>
      <c r="I15" s="13">
        <f>'Piping &amp; Valves تجمعی'!I62</f>
        <v>18000</v>
      </c>
      <c r="J15" s="12">
        <f>'Piping &amp; Valves تجمعی'!J62</f>
        <v>0</v>
      </c>
      <c r="K15" s="46">
        <f>'Piping &amp; Valves تجمعی'!K62</f>
        <v>36000</v>
      </c>
      <c r="L15" s="426"/>
      <c r="M15" s="427"/>
    </row>
    <row r="16" spans="1:13" ht="127.5" customHeight="1">
      <c r="A16" s="103" t="str">
        <f>'Piping &amp; Valves تجمعی'!A63</f>
        <v xml:space="preserve"> تجهیزات لوله‌کشی تلمبه‌خانه یزد</v>
      </c>
      <c r="B16" s="47">
        <f>'Piping &amp; Valves تجمعی'!B63</f>
        <v>31</v>
      </c>
      <c r="C16" s="51" t="str">
        <f>'Piping &amp; Valves تجمعی'!C63</f>
        <v>Ball Valve</v>
      </c>
      <c r="D16" s="15" t="str">
        <f>'Piping &amp; Valves تجمعی'!D63</f>
        <v>BALL VALVE FLANGED, CLASS 600, 600# 14" Ball Valve</v>
      </c>
      <c r="E16" s="14" t="str">
        <f>'Piping &amp; Valves تجمعی'!E63</f>
        <v>14"</v>
      </c>
      <c r="F16" s="14" t="str">
        <f>'Piping &amp; Valves تجمعی'!F63</f>
        <v>NO</v>
      </c>
      <c r="G16" s="16">
        <f>'Piping &amp; Valves تجمعی'!G63</f>
        <v>4</v>
      </c>
      <c r="H16" s="17">
        <f>'Piping &amp; Valves تجمعی'!H63</f>
        <v>0</v>
      </c>
      <c r="I16" s="18">
        <f>'Piping &amp; Valves تجمعی'!I63</f>
        <v>9300</v>
      </c>
      <c r="J16" s="17">
        <f>'Piping &amp; Valves تجمعی'!J63</f>
        <v>0</v>
      </c>
      <c r="K16" s="48">
        <f>'Piping &amp; Valves تجمعی'!K63</f>
        <v>37200</v>
      </c>
      <c r="L16" s="428" t="str">
        <f>'Piping &amp; Valves تجمعی'!L63</f>
        <v>BALL  VALVE
FLANGED, RAISED FACE, SERRATED  FINISH, CLASS 600. REDUCED BORE, TRUNNION MONTED , FIRE SAFE. SECONDARY SEAL, ANTI STATIC DEVICE, GEAR OPERATED. TWO PIECES DESIGN, ANTI BLOWOUT STEM, DOUBLE BLOCK &amp; BLEED.     
DESIGN CODE :ASME B16.34
BODY: C.S., ASTM A 216 GR. WCB 
TRIM  : F6 
BALL &amp; STEM : 13 % CHROME OR  C.S. + 0.003" ENP
SEAT &amp; SEAL:PTFE</v>
      </c>
      <c r="M16" s="388"/>
    </row>
    <row r="17" spans="1:13" ht="127.5" customHeight="1">
      <c r="A17" s="103" t="str">
        <f>'Piping &amp; Valves تجمعی'!A64</f>
        <v xml:space="preserve"> تجهیزات لوله‌کشی تلمبه‌خانه یزد</v>
      </c>
      <c r="B17" s="45">
        <f>'Piping &amp; Valves تجمعی'!B64</f>
        <v>32</v>
      </c>
      <c r="C17" s="51" t="str">
        <f>'Piping &amp; Valves تجمعی'!C64</f>
        <v>Ball Valve</v>
      </c>
      <c r="D17" s="10" t="str">
        <f>'Piping &amp; Valves تجمعی'!D64</f>
        <v>BALL VALVE FLANGED, CLASS 900, 900# 12" Ball Valve</v>
      </c>
      <c r="E17" s="9" t="str">
        <f>'Piping &amp; Valves تجمعی'!E64</f>
        <v>12"</v>
      </c>
      <c r="F17" s="9" t="str">
        <f>'Piping &amp; Valves تجمعی'!F64</f>
        <v>NO</v>
      </c>
      <c r="G17" s="11">
        <f>'Piping &amp; Valves تجمعی'!G64</f>
        <v>2</v>
      </c>
      <c r="H17" s="12">
        <f>'Piping &amp; Valves تجمعی'!H64</f>
        <v>0</v>
      </c>
      <c r="I17" s="13">
        <f>'Piping &amp; Valves تجمعی'!I64</f>
        <v>10250</v>
      </c>
      <c r="J17" s="12">
        <f>'Piping &amp; Valves تجمعی'!J64</f>
        <v>0</v>
      </c>
      <c r="K17" s="46">
        <f>'Piping &amp; Valves تجمعی'!K64</f>
        <v>20500</v>
      </c>
      <c r="L17" s="424" t="str">
        <f>'Piping &amp; Valves تجمعی'!L64</f>
        <v>BALL  VALVE
FLANGED, RAISED FACE, SERRATED  FINISH, CLASS 900. REDUCED BORE, TRUNNION MONTED , FIRE SAFE. SECONDARY SEAL, ANTI STATIC DEVICE, GEAR OPERATED. TWO PIECES DESIGN, ANTI BLOWOUT STEM, DOUBLE BLOCK &amp; BLEED.     
DESIGN CODE :ASME B16.34
BODY: C.S., ASTM A 216 GR. WCB 
TRIM  : F6 
BALL &amp; STEM : 13 % CHROME OR  C.S. + 0.003" ENP
SEAT &amp; SEAL:PTFE</v>
      </c>
      <c r="M17" s="425"/>
    </row>
    <row r="18" spans="1:13" ht="127.5" customHeight="1">
      <c r="A18" s="103" t="str">
        <f>'Piping &amp; Valves تجمعی'!A65</f>
        <v xml:space="preserve"> تجهیزات لوله‌کشی تلمبه‌خانه یزد</v>
      </c>
      <c r="B18" s="47">
        <f>'Piping &amp; Valves تجمعی'!B65</f>
        <v>33</v>
      </c>
      <c r="C18" s="51" t="str">
        <f>'Piping &amp; Valves تجمعی'!C65</f>
        <v>Ball Valve</v>
      </c>
      <c r="D18" s="15" t="str">
        <f>'Piping &amp; Valves تجمعی'!D65</f>
        <v>BALL VALVE FLANGED, CLASS 900, 900# 14" Ball Valve</v>
      </c>
      <c r="E18" s="14" t="str">
        <f>'Piping &amp; Valves تجمعی'!E65</f>
        <v>14"</v>
      </c>
      <c r="F18" s="14" t="str">
        <f>'Piping &amp; Valves تجمعی'!F65</f>
        <v>NO</v>
      </c>
      <c r="G18" s="16">
        <f>'Piping &amp; Valves تجمعی'!G65</f>
        <v>8</v>
      </c>
      <c r="H18" s="17">
        <f>'Piping &amp; Valves تجمعی'!H65</f>
        <v>0</v>
      </c>
      <c r="I18" s="18">
        <f>'Piping &amp; Valves تجمعی'!I65</f>
        <v>12000</v>
      </c>
      <c r="J18" s="17">
        <f>'Piping &amp; Valves تجمعی'!J65</f>
        <v>0</v>
      </c>
      <c r="K18" s="48">
        <f>'Piping &amp; Valves تجمعی'!K65</f>
        <v>96000</v>
      </c>
      <c r="L18" s="426"/>
      <c r="M18" s="427"/>
    </row>
    <row r="19" spans="1:13" ht="24.75" thickBot="1">
      <c r="A19" s="75"/>
      <c r="B19" s="395" t="s">
        <v>75</v>
      </c>
      <c r="C19" s="396"/>
      <c r="D19" s="397"/>
      <c r="E19" s="397"/>
      <c r="F19" s="397"/>
      <c r="G19" s="56"/>
      <c r="H19" s="57"/>
      <c r="I19" s="58"/>
      <c r="J19" s="56">
        <f>SUM(J9:J18)</f>
        <v>0</v>
      </c>
      <c r="K19" s="59">
        <f>SUM(K9:K18)</f>
        <v>290207.68</v>
      </c>
    </row>
    <row r="20" spans="1:13" ht="24.75" thickTop="1"/>
  </sheetData>
  <mergeCells count="18">
    <mergeCell ref="B3:D3"/>
    <mergeCell ref="B5:K5"/>
    <mergeCell ref="A7:M7"/>
    <mergeCell ref="B1:B2"/>
    <mergeCell ref="D1:D2"/>
    <mergeCell ref="E1:I1"/>
    <mergeCell ref="J1:J2"/>
    <mergeCell ref="K1:K2"/>
    <mergeCell ref="E2:I2"/>
    <mergeCell ref="B19:F19"/>
    <mergeCell ref="L8:M8"/>
    <mergeCell ref="L9:M9"/>
    <mergeCell ref="L10:M10"/>
    <mergeCell ref="L11:M11"/>
    <mergeCell ref="L12:M12"/>
    <mergeCell ref="L13:M15"/>
    <mergeCell ref="L16:M16"/>
    <mergeCell ref="L17:M18"/>
  </mergeCells>
  <hyperlinks>
    <hyperlink ref="B3" location="Dashboard!A1" display="◀ بازگشت به داشبورد" xr:uid="{1A5FBA92-96DB-49A3-BF80-0810791863AE}"/>
  </hyperlinks>
  <pageMargins left="0.75" right="0.75" top="1" bottom="1" header="0.5" footer="0.5"/>
  <pageSetup paperSize="9" fitToHeight="0"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F3A2-DD4F-4671-8413-8B8AE86D3DAA}">
  <sheetPr codeName="Sheet12">
    <tabColor theme="3"/>
    <pageSetUpPr fitToPage="1"/>
  </sheetPr>
  <dimension ref="A1:M24"/>
  <sheetViews>
    <sheetView showGridLines="0" zoomScale="70" zoomScaleNormal="70" workbookViewId="0">
      <selection activeCell="B3" sqref="B3:D3"/>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656</v>
      </c>
      <c r="B7" s="467"/>
      <c r="C7" s="467"/>
      <c r="D7" s="467"/>
      <c r="E7" s="467"/>
      <c r="F7" s="467"/>
      <c r="G7" s="467"/>
      <c r="H7" s="467"/>
      <c r="I7" s="467"/>
      <c r="J7" s="467"/>
      <c r="K7" s="467"/>
      <c r="L7" s="467"/>
      <c r="M7" s="468"/>
    </row>
    <row r="8" spans="1:13" ht="33">
      <c r="A8" s="71" t="s">
        <v>506</v>
      </c>
      <c r="B8" s="97" t="s">
        <v>35</v>
      </c>
      <c r="C8" s="34" t="s">
        <v>393</v>
      </c>
      <c r="D8" s="34" t="s">
        <v>523</v>
      </c>
      <c r="E8" s="34" t="s">
        <v>37</v>
      </c>
      <c r="F8" s="34" t="s">
        <v>38</v>
      </c>
      <c r="G8" s="34" t="s">
        <v>39</v>
      </c>
      <c r="H8" s="34" t="s">
        <v>40</v>
      </c>
      <c r="I8" s="34" t="s">
        <v>41</v>
      </c>
      <c r="J8" s="34" t="s">
        <v>42</v>
      </c>
      <c r="K8" s="44" t="s">
        <v>43</v>
      </c>
      <c r="L8" s="423" t="s">
        <v>480</v>
      </c>
      <c r="M8" s="386"/>
    </row>
    <row r="9" spans="1:13" ht="102" customHeight="1">
      <c r="A9" s="95" t="str">
        <f>'Piping &amp; Valves تجمعی'!A18</f>
        <v>تجهیزات لوله‌کشی تلمبه‌خانه رفسنجان</v>
      </c>
      <c r="B9" s="45">
        <f>'Piping &amp; Valves تجمعی'!B18</f>
        <v>11</v>
      </c>
      <c r="C9" s="9" t="str">
        <f>'Piping &amp; Valves تجمعی'!C18</f>
        <v>Check Valve</v>
      </c>
      <c r="D9" s="10" t="str">
        <f>'Piping &amp; Valves تجمعی'!D18</f>
        <v>CHECK VALVE FLANGED, RAISED FACE, SERRATED FINISH, CLASS 150, SWING TYPE, REGULAR PATTERN, BOLTED COVER, RENEWABLE SEAT. DESIGN CODE:ASME B16.34 BODY: C.S., ASTM A 216 GR. WCB TRIM : F6 GASKET:ASBESTOS FREE MATERIAL BOLTS &amp; NUTS :ASTM A-197 GR.B7 &amp; ASTM A-194 GR.2H 150# 6" Check Valve</v>
      </c>
      <c r="E9" s="9" t="str">
        <f>'Piping &amp; Valves تجمعی'!E18</f>
        <v>6"</v>
      </c>
      <c r="F9" s="9" t="str">
        <f>'Piping &amp; Valves تجمعی'!F18</f>
        <v>NO</v>
      </c>
      <c r="G9" s="11">
        <f>'Piping &amp; Valves تجمعی'!G18</f>
        <v>2</v>
      </c>
      <c r="H9" s="12">
        <f>'Piping &amp; Valves تجمعی'!H18</f>
        <v>0</v>
      </c>
      <c r="I9" s="13">
        <f>'Piping &amp; Valves تجمعی'!I18</f>
        <v>223.85</v>
      </c>
      <c r="J9" s="12">
        <f>'Piping &amp; Valves تجمعی'!J18</f>
        <v>0</v>
      </c>
      <c r="K9" s="46">
        <f>'Piping &amp; Valves تجمعی'!K18</f>
        <v>447.7</v>
      </c>
      <c r="L9" s="442" t="str">
        <f>'Piping &amp; Valves تجمعی'!L18</f>
        <v>CHECK VALVE
FLANGED, RAISED FACE, SERRATED FINISH, CLASS150, SWING TYPE, REGULAR PATTERN, BOLTED COVER, RENEWABLE SEAT.
DESIGN CODE:ASME B16.34
BODY: C.S., ASTM A 216 GR. WCB 
TRIM : F6
GASKET:ASBESTOS FREE MATERIAL
BOLTS &amp; NUTS :ASTM A-197 GR.B7 &amp; ASTM A-194 GR.2H</v>
      </c>
      <c r="M9" s="408"/>
    </row>
    <row r="10" spans="1:13" ht="102" customHeight="1">
      <c r="A10" s="95" t="str">
        <f>'Piping &amp; Valves تجمعی'!A19</f>
        <v>تجهیزات لوله‌کشی تلمبه‌خانه رفسنجان</v>
      </c>
      <c r="B10" s="47">
        <f>'Piping &amp; Valves تجمعی'!B19</f>
        <v>12</v>
      </c>
      <c r="C10" s="14" t="str">
        <f>'Piping &amp; Valves تجمعی'!C19</f>
        <v>Check Valve</v>
      </c>
      <c r="D10" s="15" t="str">
        <f>'Piping &amp; Valves تجمعی'!D19</f>
        <v>CHECK VALVE FLANGED, RAISED FACE, SERRATED FINISH, CLASS 150, SWING TYPE, REGULAR PATTERN, BOLTED COVER, RENEWABLE SEAT. DESIGN CODE:ASME B16.34 BODY: C.S., ASTM A 216 GR. WCB TRIM : F6 GASKET:ASBESTOS FREE MATERIAL BOLTS &amp; NUTS :ASTM A-197 GR.B7 &amp; ASTM A-194 GR.2H 150# 12" Check Valve</v>
      </c>
      <c r="E10" s="14" t="str">
        <f>'Piping &amp; Valves تجمعی'!E19</f>
        <v>12"</v>
      </c>
      <c r="F10" s="14" t="str">
        <f>'Piping &amp; Valves تجمعی'!F19</f>
        <v>NO</v>
      </c>
      <c r="G10" s="16">
        <f>'Piping &amp; Valves تجمعی'!G19</f>
        <v>2</v>
      </c>
      <c r="H10" s="17">
        <f>'Piping &amp; Valves تجمعی'!H19</f>
        <v>0</v>
      </c>
      <c r="I10" s="18">
        <f>'Piping &amp; Valves تجمعی'!I19</f>
        <v>1767.8</v>
      </c>
      <c r="J10" s="17">
        <f>'Piping &amp; Valves تجمعی'!J19</f>
        <v>0</v>
      </c>
      <c r="K10" s="48">
        <f>'Piping &amp; Valves تجمعی'!K19</f>
        <v>3535.6</v>
      </c>
      <c r="L10" s="443"/>
      <c r="M10" s="406"/>
    </row>
    <row r="11" spans="1:13" ht="132" customHeight="1">
      <c r="A11" s="95" t="str">
        <f>'Piping &amp; Valves تجمعی'!A20</f>
        <v>تجهیزات لوله‌کشی تلمبه‌خانه رفسنجان</v>
      </c>
      <c r="B11" s="45">
        <f>'Piping &amp; Valves تجمعی'!B20</f>
        <v>13</v>
      </c>
      <c r="C11" s="9" t="str">
        <f>'Piping &amp; Valves تجمعی'!C20</f>
        <v>Check Valve</v>
      </c>
      <c r="D11" s="10" t="str">
        <f>'Piping &amp; Valves تجمعی'!D20</f>
        <v>CHECK VALVE FLANGED, RAISED FACE, SMOOTH FINISH, CLASS 300, SWING TYPE, REGULAR PATTERN, BOLTED COVER, RENEWABLE SEAT. DESIGN CODE:ASME B16.34 BODY: C.S., ASTM A 216 GR. WCB TRIM : F6 GASKET:ASBESTOS FREE MATERIAL 600# 14" Check Valve</v>
      </c>
      <c r="E11" s="9" t="str">
        <f>'Piping &amp; Valves تجمعی'!E20</f>
        <v>14"</v>
      </c>
      <c r="F11" s="9" t="str">
        <f>'Piping &amp; Valves تجمعی'!F20</f>
        <v>NO</v>
      </c>
      <c r="G11" s="11">
        <f>'Piping &amp; Valves تجمعی'!G20</f>
        <v>2</v>
      </c>
      <c r="H11" s="12">
        <f>'Piping &amp; Valves تجمعی'!H20</f>
        <v>0</v>
      </c>
      <c r="I11" s="13">
        <f>'Piping &amp; Valves تجمعی'!I20</f>
        <v>6185.32</v>
      </c>
      <c r="J11" s="12">
        <f>'Piping &amp; Valves تجمعی'!J20</f>
        <v>0</v>
      </c>
      <c r="K11" s="46">
        <f>'Piping &amp; Valves تجمعی'!K20</f>
        <v>12370.64</v>
      </c>
      <c r="L11" s="416" t="str">
        <f>'Piping &amp; Valves تجمعی'!L20</f>
        <v>CHECK VALVE
FLANGED, RAISED FACE, SMOOTH FINISH, CLASS 300, SWING TYPE, REGULAR PATTERN, BOLTED COVER, , RENEWABLE SEAT.
DESIGN CODE:ASME B16.34
BODY: C.S., ASTM A 216 GR. WCB 
TRIM : F6 
GASKET:ASBESTOS FREE MATERIAL
BOLTS &amp;NUTS :ASTM A-197 GR.B7 &amp; ASTM A-194 GR.2H</v>
      </c>
      <c r="M11" s="393"/>
    </row>
    <row r="12" spans="1:13" ht="137.25" customHeight="1">
      <c r="A12" s="95" t="str">
        <f>'Piping &amp; Valves تجمعی'!A21</f>
        <v>تجهیزات لوله‌کشی تلمبه‌خانه رفسنجان</v>
      </c>
      <c r="B12" s="98">
        <f>'Piping &amp; Valves تجمعی'!B21</f>
        <v>14</v>
      </c>
      <c r="C12" s="19" t="str">
        <f>'Piping &amp; Valves تجمعی'!C21</f>
        <v>Check Valve</v>
      </c>
      <c r="D12" s="20" t="str">
        <f>'Piping &amp; Valves تجمعی'!D21</f>
        <v>CHECK VALVE FLANGED, RAISED FACE, SMOOTH FINISH, CLASS 900, SWING TYPE, REGULAR PATTERN, BOLTED COVER, RENEWABLE SEAT. DESIGN CODE:ASME B16.34 BODY: C.S., ASTM A 216 GR. WCB TRIM : F6 GASKET:ASBESTOS FREE MATERIAL BOLTS &amp;NUTS :ASTM A-197 GR.B7 &amp; ASTM A-194 GR.2H 900# 14" Check Valve</v>
      </c>
      <c r="E12" s="19" t="str">
        <f>'Piping &amp; Valves تجمعی'!E21</f>
        <v>14"</v>
      </c>
      <c r="F12" s="19" t="str">
        <f>'Piping &amp; Valves تجمعی'!F21</f>
        <v>NO</v>
      </c>
      <c r="G12" s="21">
        <f>'Piping &amp; Valves تجمعی'!G21</f>
        <v>2</v>
      </c>
      <c r="H12" s="22">
        <f>'Piping &amp; Valves تجمعی'!H21</f>
        <v>0</v>
      </c>
      <c r="I12" s="23">
        <f>'Piping &amp; Valves تجمعی'!I21</f>
        <v>9292.1299999999992</v>
      </c>
      <c r="J12" s="22">
        <f>'Piping &amp; Valves تجمعی'!J21</f>
        <v>0</v>
      </c>
      <c r="K12" s="99">
        <f>'Piping &amp; Valves تجمعی'!K21</f>
        <v>18584.259999999998</v>
      </c>
      <c r="L12" s="444" t="str">
        <f>'Piping &amp; Valves تجمعی'!L21</f>
        <v>CHECK VALVE
FLANGED, RAISED FACE, SMOOTH FINISH, CLASS 900, SWING TYPE, REGULAR PATTERN, BOLTED COVER, , RENEWABLE SEAT.
DESIGN CODE:ASME B16.34
BODY: C.S., ASTM A 216 GR. WCB 
TRIM : F6 
GASKET:ASBESTOS FREE MATERIAL
BOLTS &amp;NUTS :ASTM A-197 GR.B7 &amp; ASTM A-194 GR.2H</v>
      </c>
      <c r="M12" s="445"/>
    </row>
    <row r="13" spans="1:13" ht="136.5" customHeight="1">
      <c r="A13" s="95" t="str">
        <f>'Piping &amp; Valves تجمعی'!A22</f>
        <v>تجهیزات لوله‌کشی تلمبه‌خانه رفسنجان</v>
      </c>
      <c r="B13" s="98">
        <f>'Piping &amp; Valves تجمعی'!B22</f>
        <v>15</v>
      </c>
      <c r="C13" s="19" t="str">
        <f>'Piping &amp; Valves تجمعی'!C22</f>
        <v>Check Valve</v>
      </c>
      <c r="D13" s="20" t="str">
        <f>'Piping &amp; Valves تجمعی'!D22</f>
        <v>CHECK VALVE FLANGED, RTJ, SMOOTH FINISH, CLASS 1500, SWING TYPE, REGULAR PATTERN, BOLTED COVER, RENEWABLE SEAT. DESIGN CODE:ASME B16.34 BODY: C.S., ASTM A 216 GR. WCB TRIM : F6 GASKET:ASBESTOS FREE MATERIAL BOLTS &amp;NUTS :ASTM A-197 GR.B7 &amp; ASTM A-194 GR.2H 1500# 14" Check Valve</v>
      </c>
      <c r="E13" s="19" t="str">
        <f>'Piping &amp; Valves تجمعی'!E22</f>
        <v>14"</v>
      </c>
      <c r="F13" s="19" t="str">
        <f>'Piping &amp; Valves تجمعی'!F22</f>
        <v>NO</v>
      </c>
      <c r="G13" s="21">
        <f>'Piping &amp; Valves تجمعی'!G22</f>
        <v>4</v>
      </c>
      <c r="H13" s="22">
        <f>'Piping &amp; Valves تجمعی'!H22</f>
        <v>0</v>
      </c>
      <c r="I13" s="23">
        <f>'Piping &amp; Valves تجمعی'!I22</f>
        <v>14069.71</v>
      </c>
      <c r="J13" s="22">
        <f>'Piping &amp; Valves تجمعی'!J22</f>
        <v>0</v>
      </c>
      <c r="K13" s="99">
        <f>'Piping &amp; Valves تجمعی'!K22</f>
        <v>56278.84</v>
      </c>
      <c r="L13" s="444" t="str">
        <f>'Piping &amp; Valves تجمعی'!L22</f>
        <v>CHECK VALVE
FLANGED, RTJ, SMOOTH FINISH, CLASS 1500, SWING TYPE, REGULAR PATTERN, BOLTED COVER, , RENEWABLE SEAT.
DESIGN CODE:ASME B16.34
BODY: C.S., ASTM A 216 GR. WCB 
TRIM : F6 
GASKET:ASBESTOS FREE MATERIAL
BOLTS &amp;NUTS :ASTM A-197 GR.B7 &amp; ASTM A-194 GR.2H</v>
      </c>
      <c r="M13" s="445"/>
    </row>
    <row r="14" spans="1:13" ht="69.95" customHeight="1">
      <c r="A14" s="103" t="str">
        <f>'Piping &amp; Valves تجمعی'!A50</f>
        <v xml:space="preserve"> تجهیزات لوله‌کشی تلمبه‌خانه یزد</v>
      </c>
      <c r="B14" s="45">
        <f>'Piping &amp; Valves تجمعی'!B50</f>
        <v>18</v>
      </c>
      <c r="C14" s="51" t="str">
        <f>'Piping &amp; Valves تجمعی'!C50</f>
        <v>Check Valve</v>
      </c>
      <c r="D14" s="10" t="str">
        <f>'Piping &amp; Valves تجمعی'!D50</f>
        <v>CHECK VALVE FLANGED, CLASS 150, 150# 6" Check Valve</v>
      </c>
      <c r="E14" s="9" t="str">
        <f>'Piping &amp; Valves تجمعی'!E50</f>
        <v>6"</v>
      </c>
      <c r="F14" s="9" t="str">
        <f>'Piping &amp; Valves تجمعی'!F50</f>
        <v>NO</v>
      </c>
      <c r="G14" s="11">
        <f>'Piping &amp; Valves تجمعی'!G50</f>
        <v>4</v>
      </c>
      <c r="H14" s="12">
        <f>'Piping &amp; Valves تجمعی'!H50</f>
        <v>0</v>
      </c>
      <c r="I14" s="13">
        <f>'Piping &amp; Valves تجمعی'!I50</f>
        <v>224</v>
      </c>
      <c r="J14" s="12">
        <f>'Piping &amp; Valves تجمعی'!J50</f>
        <v>0</v>
      </c>
      <c r="K14" s="46">
        <f>'Piping &amp; Valves تجمعی'!K50</f>
        <v>896</v>
      </c>
      <c r="L14" s="424" t="str">
        <f>'Piping &amp; Valves تجمعی'!L50</f>
        <v>CHECK VALVE
FLANGED, RAISED FACE, SERRATED FINISH, CLASS150, SWING TYPE, REGULAR PATTERN, BOLTED COVER, RENEWABLE SEAT.
DESIGN CODE:ASME B16.34
BODY: C.S., ASTM A 216 GR. WCB 
TRIM : F6
GASKET:ASBESTOS FREE MATERIAL
BOLTS &amp; NUTS :ASTM A-197 GR.B7 &amp; ASTM A-194 GR.2H</v>
      </c>
      <c r="M14" s="425"/>
    </row>
    <row r="15" spans="1:13" ht="69.95" customHeight="1">
      <c r="A15" s="103" t="str">
        <f>'Piping &amp; Valves تجمعی'!A51</f>
        <v xml:space="preserve"> تجهیزات لوله‌کشی تلمبه‌خانه یزد</v>
      </c>
      <c r="B15" s="47">
        <f>'Piping &amp; Valves تجمعی'!B51</f>
        <v>19</v>
      </c>
      <c r="C15" s="51" t="str">
        <f>'Piping &amp; Valves تجمعی'!C51</f>
        <v>Check Valve</v>
      </c>
      <c r="D15" s="15" t="str">
        <f>'Piping &amp; Valves تجمعی'!D51</f>
        <v>CHECK VALVE FLANGED, CLASS 150, 150# 12" Check Valve</v>
      </c>
      <c r="E15" s="14" t="str">
        <f>'Piping &amp; Valves تجمعی'!E51</f>
        <v>12"</v>
      </c>
      <c r="F15" s="14" t="str">
        <f>'Piping &amp; Valves تجمعی'!F51</f>
        <v>NO</v>
      </c>
      <c r="G15" s="16">
        <f>'Piping &amp; Valves تجمعی'!G51</f>
        <v>7</v>
      </c>
      <c r="H15" s="17">
        <f>'Piping &amp; Valves تجمعی'!H51</f>
        <v>0</v>
      </c>
      <c r="I15" s="18">
        <f>'Piping &amp; Valves تجمعی'!I51</f>
        <v>1700</v>
      </c>
      <c r="J15" s="17">
        <f>'Piping &amp; Valves تجمعی'!J51</f>
        <v>0</v>
      </c>
      <c r="K15" s="48">
        <f>'Piping &amp; Valves تجمعی'!K51</f>
        <v>11900</v>
      </c>
      <c r="L15" s="429"/>
      <c r="M15" s="430"/>
    </row>
    <row r="16" spans="1:13" ht="69.95" customHeight="1">
      <c r="A16" s="103" t="str">
        <f>'Piping &amp; Valves تجمعی'!A52</f>
        <v xml:space="preserve"> تجهیزات لوله‌کشی تلمبه‌خانه یزد</v>
      </c>
      <c r="B16" s="45">
        <f>'Piping &amp; Valves تجمعی'!B52</f>
        <v>20</v>
      </c>
      <c r="C16" s="51" t="str">
        <f>'Piping &amp; Valves تجمعی'!C52</f>
        <v>Check Valve</v>
      </c>
      <c r="D16" s="10" t="str">
        <f>'Piping &amp; Valves تجمعی'!D52</f>
        <v>CHECK VALVE FLANGED, CLASS 150, 150# 14" Check Valve</v>
      </c>
      <c r="E16" s="9" t="str">
        <f>'Piping &amp; Valves تجمعی'!E52</f>
        <v>14"</v>
      </c>
      <c r="F16" s="9" t="str">
        <f>'Piping &amp; Valves تجمعی'!F52</f>
        <v>NO</v>
      </c>
      <c r="G16" s="11">
        <f>'Piping &amp; Valves تجمعی'!G52</f>
        <v>6</v>
      </c>
      <c r="H16" s="12">
        <f>'Piping &amp; Valves تجمعی'!H52</f>
        <v>0</v>
      </c>
      <c r="I16" s="13">
        <f>'Piping &amp; Valves تجمعی'!I52</f>
        <v>1250</v>
      </c>
      <c r="J16" s="12">
        <f>'Piping &amp; Valves تجمعی'!J52</f>
        <v>0</v>
      </c>
      <c r="K16" s="46">
        <f>'Piping &amp; Valves تجمعی'!K52</f>
        <v>7500</v>
      </c>
      <c r="L16" s="429"/>
      <c r="M16" s="430"/>
    </row>
    <row r="17" spans="1:13" ht="69.95" customHeight="1">
      <c r="A17" s="103" t="str">
        <f>'Piping &amp; Valves تجمعی'!A53</f>
        <v xml:space="preserve"> تجهیزات لوله‌کشی تلمبه‌خانه یزد</v>
      </c>
      <c r="B17" s="47">
        <f>'Piping &amp; Valves تجمعی'!B53</f>
        <v>21</v>
      </c>
      <c r="C17" s="51" t="str">
        <f>'Piping &amp; Valves تجمعی'!C53</f>
        <v>Check Valve</v>
      </c>
      <c r="D17" s="15" t="str">
        <f>'Piping &amp; Valves تجمعی'!D53</f>
        <v>CHECK VALVE FLANGED, CLASS 150, 150# 18" Check Valve</v>
      </c>
      <c r="E17" s="14" t="str">
        <f>'Piping &amp; Valves تجمعی'!E53</f>
        <v>18"</v>
      </c>
      <c r="F17" s="14" t="str">
        <f>'Piping &amp; Valves تجمعی'!F53</f>
        <v>NO</v>
      </c>
      <c r="G17" s="16">
        <f>'Piping &amp; Valves تجمعی'!G53</f>
        <v>1</v>
      </c>
      <c r="H17" s="17">
        <f>'Piping &amp; Valves تجمعی'!H53</f>
        <v>0</v>
      </c>
      <c r="I17" s="18">
        <f>'Piping &amp; Valves تجمعی'!I53</f>
        <v>3600</v>
      </c>
      <c r="J17" s="17">
        <f>'Piping &amp; Valves تجمعی'!J53</f>
        <v>0</v>
      </c>
      <c r="K17" s="48">
        <f>'Piping &amp; Valves تجمعی'!K53</f>
        <v>3600</v>
      </c>
      <c r="L17" s="429"/>
      <c r="M17" s="430"/>
    </row>
    <row r="18" spans="1:13" ht="69.95" customHeight="1">
      <c r="A18" s="103" t="str">
        <f>'Piping &amp; Valves تجمعی'!A54</f>
        <v xml:space="preserve"> تجهیزات لوله‌کشی تلمبه‌خانه یزد</v>
      </c>
      <c r="B18" s="45">
        <f>'Piping &amp; Valves تجمعی'!B54</f>
        <v>22</v>
      </c>
      <c r="C18" s="51" t="str">
        <f>'Piping &amp; Valves تجمعی'!C54</f>
        <v>Check Valve</v>
      </c>
      <c r="D18" s="10" t="str">
        <f>'Piping &amp; Valves تجمعی'!D54</f>
        <v>CHECK VALVE FLANGED, CLASS 150, 150# 28" Check Valve</v>
      </c>
      <c r="E18" s="9" t="str">
        <f>'Piping &amp; Valves تجمعی'!E54</f>
        <v>28"</v>
      </c>
      <c r="F18" s="9" t="str">
        <f>'Piping &amp; Valves تجمعی'!F54</f>
        <v>NO</v>
      </c>
      <c r="G18" s="11">
        <f>'Piping &amp; Valves تجمعی'!G54</f>
        <v>2</v>
      </c>
      <c r="H18" s="12">
        <f>'Piping &amp; Valves تجمعی'!H54</f>
        <v>0</v>
      </c>
      <c r="I18" s="13">
        <f>'Piping &amp; Valves تجمعی'!I54</f>
        <v>10000</v>
      </c>
      <c r="J18" s="12">
        <f>'Piping &amp; Valves تجمعی'!J54</f>
        <v>0</v>
      </c>
      <c r="K18" s="46">
        <f>'Piping &amp; Valves تجمعی'!K54</f>
        <v>20000</v>
      </c>
      <c r="L18" s="426"/>
      <c r="M18" s="427"/>
    </row>
    <row r="19" spans="1:13" ht="69.95" customHeight="1">
      <c r="A19" s="103" t="str">
        <f>'Piping &amp; Valves تجمعی'!A55</f>
        <v xml:space="preserve"> تجهیزات لوله‌کشی تلمبه‌خانه یزد</v>
      </c>
      <c r="B19" s="47">
        <f>'Piping &amp; Valves تجمعی'!B55</f>
        <v>23</v>
      </c>
      <c r="C19" s="51" t="str">
        <f>'Piping &amp; Valves تجمعی'!C55</f>
        <v>Check Valve</v>
      </c>
      <c r="D19" s="15" t="str">
        <f>'Piping &amp; Valves تجمعی'!D55</f>
        <v>CHECK VALVE FLANGED, CLASS 600, 600# 12" Check Valve</v>
      </c>
      <c r="E19" s="14" t="str">
        <f>'Piping &amp; Valves تجمعی'!E55</f>
        <v>12"</v>
      </c>
      <c r="F19" s="14" t="str">
        <f>'Piping &amp; Valves تجمعی'!F55</f>
        <v>NO</v>
      </c>
      <c r="G19" s="16">
        <f>'Piping &amp; Valves تجمعی'!G55</f>
        <v>1</v>
      </c>
      <c r="H19" s="17">
        <f>'Piping &amp; Valves تجمعی'!H55</f>
        <v>0</v>
      </c>
      <c r="I19" s="18">
        <f>'Piping &amp; Valves تجمعی'!I55</f>
        <v>3000</v>
      </c>
      <c r="J19" s="17">
        <f>'Piping &amp; Valves تجمعی'!J55</f>
        <v>0</v>
      </c>
      <c r="K19" s="48">
        <f>'Piping &amp; Valves تجمعی'!K55</f>
        <v>3000</v>
      </c>
      <c r="L19" s="433" t="str">
        <f>'Piping &amp; Valves تجمعی'!L55</f>
        <v>CHECK  VALVE
FLANGED, RAISED FACE, SERRATED FINISH, CLASS600, SWING TYPE, REGULAR PATTERN, BOLTED COVER, RENEWABLE SEAT.
DESIGN CODE:ASME B16.34
BODY: C.S., ASTM A 216 GR. WCB 
TRIM : F6
GASKET:ASBESTOS FREE MATERIAL
BOLTS &amp; NUTS :ASTM A-197 GR.B7 &amp; ASTM A-194 GR.2H</v>
      </c>
      <c r="M19" s="434"/>
    </row>
    <row r="20" spans="1:13" ht="69.95" customHeight="1">
      <c r="A20" s="103" t="str">
        <f>'Piping &amp; Valves تجمعی'!A56</f>
        <v xml:space="preserve"> تجهیزات لوله‌کشی تلمبه‌خانه یزد</v>
      </c>
      <c r="B20" s="45">
        <f>'Piping &amp; Valves تجمعی'!B56</f>
        <v>24</v>
      </c>
      <c r="C20" s="51" t="str">
        <f>'Piping &amp; Valves تجمعی'!C56</f>
        <v>Check Valve</v>
      </c>
      <c r="D20" s="10" t="str">
        <f>'Piping &amp; Valves تجمعی'!D56</f>
        <v>CHECK VALVE FLANGED, CLASS 600, 600# 14" Check Valve</v>
      </c>
      <c r="E20" s="9" t="str">
        <f>'Piping &amp; Valves تجمعی'!E56</f>
        <v>14"</v>
      </c>
      <c r="F20" s="9" t="str">
        <f>'Piping &amp; Valves تجمعی'!F56</f>
        <v>NO</v>
      </c>
      <c r="G20" s="11">
        <f>'Piping &amp; Valves تجمعی'!G56</f>
        <v>1</v>
      </c>
      <c r="H20" s="12">
        <f>'Piping &amp; Valves تجمعی'!H56</f>
        <v>0</v>
      </c>
      <c r="I20" s="13">
        <f>'Piping &amp; Valves تجمعی'!I56</f>
        <v>6500</v>
      </c>
      <c r="J20" s="12">
        <f>'Piping &amp; Valves تجمعی'!J56</f>
        <v>0</v>
      </c>
      <c r="K20" s="46">
        <f>'Piping &amp; Valves تجمعی'!K56</f>
        <v>6500</v>
      </c>
      <c r="L20" s="435"/>
      <c r="M20" s="436"/>
    </row>
    <row r="21" spans="1:13" ht="69.95" customHeight="1">
      <c r="A21" s="103" t="str">
        <f>'Piping &amp; Valves تجمعی'!A57</f>
        <v xml:space="preserve"> تجهیزات لوله‌کشی تلمبه‌خانه یزد</v>
      </c>
      <c r="B21" s="47">
        <f>'Piping &amp; Valves تجمعی'!B57</f>
        <v>25</v>
      </c>
      <c r="C21" s="51" t="str">
        <f>'Piping &amp; Valves تجمعی'!C57</f>
        <v>Check Valve</v>
      </c>
      <c r="D21" s="15" t="str">
        <f>'Piping &amp; Valves تجمعی'!D57</f>
        <v>CHECK VALVE FLANGED, CLASS 900, 900# 12" Check Valve</v>
      </c>
      <c r="E21" s="14" t="str">
        <f>'Piping &amp; Valves تجمعی'!E57</f>
        <v>12"</v>
      </c>
      <c r="F21" s="14" t="str">
        <f>'Piping &amp; Valves تجمعی'!F57</f>
        <v>NO</v>
      </c>
      <c r="G21" s="16">
        <f>'Piping &amp; Valves تجمعی'!G57</f>
        <v>2</v>
      </c>
      <c r="H21" s="17">
        <f>'Piping &amp; Valves تجمعی'!H57</f>
        <v>0</v>
      </c>
      <c r="I21" s="18">
        <f>'Piping &amp; Valves تجمعی'!I57</f>
        <v>4300</v>
      </c>
      <c r="J21" s="17">
        <f>'Piping &amp; Valves تجمعی'!J57</f>
        <v>0</v>
      </c>
      <c r="K21" s="48">
        <f>'Piping &amp; Valves تجمعی'!K57</f>
        <v>8600</v>
      </c>
      <c r="L21" s="433" t="str">
        <f>'Piping &amp; Valves تجمعی'!L57</f>
        <v>CHECK VALVE
FLANGED, RAISED FACE, SMOOTH FINISH, CLASS 900, SWING TYPE, REGULAR PATTERN, BOLTED COVER, , RENEWABLE SEAT.
DESIGN CODE:ASME B16.34
BODY: C.S., ASTM A 216 GR. WCB 
TRIM : F6 
GASKET:ASBESTOS FREE MATERIAL
BOLTS &amp;NUTS :ASTM A-197 GR.B7 &amp; ASTM A-194 GR.2H</v>
      </c>
      <c r="M21" s="434"/>
    </row>
    <row r="22" spans="1:13" ht="69.95" customHeight="1">
      <c r="A22" s="103" t="str">
        <f>'Piping &amp; Valves تجمعی'!A58</f>
        <v xml:space="preserve"> تجهیزات لوله‌کشی تلمبه‌خانه یزد</v>
      </c>
      <c r="B22" s="45">
        <f>'Piping &amp; Valves تجمعی'!B58</f>
        <v>26</v>
      </c>
      <c r="C22" s="51" t="str">
        <f>'Piping &amp; Valves تجمعی'!C58</f>
        <v>Check Valve</v>
      </c>
      <c r="D22" s="10" t="str">
        <f>'Piping &amp; Valves تجمعی'!D58</f>
        <v>CHECK VALVE FLANGED, CLASS 900, 900# 14" Check Valve</v>
      </c>
      <c r="E22" s="9" t="str">
        <f>'Piping &amp; Valves تجمعی'!E58</f>
        <v>14"</v>
      </c>
      <c r="F22" s="9" t="str">
        <f>'Piping &amp; Valves تجمعی'!F58</f>
        <v>NO</v>
      </c>
      <c r="G22" s="11">
        <f>'Piping &amp; Valves تجمعی'!G58</f>
        <v>5</v>
      </c>
      <c r="H22" s="12">
        <f>'Piping &amp; Valves تجمعی'!H58</f>
        <v>0</v>
      </c>
      <c r="I22" s="13">
        <f>'Piping &amp; Valves تجمعی'!I58</f>
        <v>7000</v>
      </c>
      <c r="J22" s="12">
        <f>'Piping &amp; Valves تجمعی'!J58</f>
        <v>0</v>
      </c>
      <c r="K22" s="46">
        <f>'Piping &amp; Valves تجمعی'!K58</f>
        <v>35000</v>
      </c>
      <c r="L22" s="435"/>
      <c r="M22" s="436"/>
    </row>
    <row r="23" spans="1:13" ht="24.75" thickBot="1">
      <c r="A23" s="75"/>
      <c r="B23" s="395" t="s">
        <v>75</v>
      </c>
      <c r="C23" s="396"/>
      <c r="D23" s="397"/>
      <c r="E23" s="397"/>
      <c r="F23" s="397"/>
      <c r="G23" s="56"/>
      <c r="H23" s="57"/>
      <c r="I23" s="58"/>
      <c r="J23" s="56">
        <f>SUM(J9:J22)</f>
        <v>0</v>
      </c>
      <c r="K23" s="59">
        <f>SUM(K9:K22)</f>
        <v>188213.03999999998</v>
      </c>
    </row>
    <row r="24" spans="1:13" ht="24.75" thickTop="1"/>
  </sheetData>
  <mergeCells count="18">
    <mergeCell ref="B1:B2"/>
    <mergeCell ref="D1:D2"/>
    <mergeCell ref="E1:I1"/>
    <mergeCell ref="J1:J2"/>
    <mergeCell ref="K1:K2"/>
    <mergeCell ref="E2:I2"/>
    <mergeCell ref="B23:F23"/>
    <mergeCell ref="L11:M11"/>
    <mergeCell ref="L12:M12"/>
    <mergeCell ref="B3:D3"/>
    <mergeCell ref="B5:K5"/>
    <mergeCell ref="A7:M7"/>
    <mergeCell ref="L8:M8"/>
    <mergeCell ref="L9:M10"/>
    <mergeCell ref="L13:M13"/>
    <mergeCell ref="L14:M18"/>
    <mergeCell ref="L19:M20"/>
    <mergeCell ref="L21:M22"/>
  </mergeCells>
  <hyperlinks>
    <hyperlink ref="B3" location="Dashboard!A1" display="◀ بازگشت به داشبورد" xr:uid="{519CA979-2FFB-4D75-958D-884AA3CA8BDA}"/>
  </hyperlinks>
  <pageMargins left="0.75" right="0.75" top="1" bottom="1" header="0.5" footer="0.5"/>
  <pageSetup paperSize="9" fitToHeight="0"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38DD9-68A7-4810-9606-6A178894C1F3}">
  <sheetPr codeName="Sheet15">
    <tabColor theme="3"/>
    <pageSetUpPr fitToPage="1"/>
  </sheetPr>
  <dimension ref="A1:M17"/>
  <sheetViews>
    <sheetView showGridLines="0" zoomScale="70" zoomScaleNormal="70" workbookViewId="0">
      <selection activeCell="B3" sqref="B3:D3"/>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659</v>
      </c>
      <c r="B7" s="467"/>
      <c r="C7" s="467"/>
      <c r="D7" s="467"/>
      <c r="E7" s="467"/>
      <c r="F7" s="467"/>
      <c r="G7" s="467"/>
      <c r="H7" s="467"/>
      <c r="I7" s="467"/>
      <c r="J7" s="467"/>
      <c r="K7" s="467"/>
      <c r="L7" s="467"/>
      <c r="M7" s="468"/>
    </row>
    <row r="8" spans="1:13" ht="33">
      <c r="A8" s="71" t="s">
        <v>506</v>
      </c>
      <c r="B8" s="97" t="s">
        <v>35</v>
      </c>
      <c r="C8" s="34" t="s">
        <v>393</v>
      </c>
      <c r="D8" s="34" t="s">
        <v>523</v>
      </c>
      <c r="E8" s="34" t="s">
        <v>37</v>
      </c>
      <c r="F8" s="34" t="s">
        <v>38</v>
      </c>
      <c r="G8" s="34" t="s">
        <v>39</v>
      </c>
      <c r="H8" s="34" t="s">
        <v>40</v>
      </c>
      <c r="I8" s="34" t="s">
        <v>41</v>
      </c>
      <c r="J8" s="34" t="s">
        <v>42</v>
      </c>
      <c r="K8" s="44" t="s">
        <v>43</v>
      </c>
      <c r="L8" s="423" t="s">
        <v>480</v>
      </c>
      <c r="M8" s="386"/>
    </row>
    <row r="9" spans="1:13" ht="242.25" customHeight="1">
      <c r="A9" s="95" t="str">
        <f>'Piping &amp; Valves تجمعی'!A16</f>
        <v>تجهیزات لوله‌کشی تلمبه‌خانه رفسنجان</v>
      </c>
      <c r="B9" s="45">
        <f>'Piping &amp; Valves تجمعی'!B16</f>
        <v>9</v>
      </c>
      <c r="C9" s="9" t="str">
        <f>'Piping &amp; Valves تجمعی'!C16</f>
        <v>Gate Valve</v>
      </c>
      <c r="D9" s="10" t="str">
        <f>'Piping &amp; Valves تجمعی'!D16</f>
        <v>GATE VALVE FLANGED, CLASS 150, RAISED FACE, SERRATED FINISH, DESIGN CODE: ASME B16.34, BOLTED BONNET, BOLTED GLAND, SOLID WEDGE, OUTSIDE SCREW &amp; YOKE, RISING STEM THROUGH HANDWHEEL, HANDWHEEL OPERATED, RENEWABLE SEAT, ANTI BLOWOUT STEM. DIMENSIONS TO ANSI B 16.10 BODY: C.S., ASTM A 216 GR. WCB 150# 6" Gate Valve</v>
      </c>
      <c r="E9" s="9" t="str">
        <f>'Piping &amp; Valves تجمعی'!E16</f>
        <v>6"</v>
      </c>
      <c r="F9" s="9" t="str">
        <f>'Piping &amp; Valves تجمعی'!F16</f>
        <v>NO</v>
      </c>
      <c r="G9" s="11">
        <f>'Piping &amp; Valves تجمعی'!G16</f>
        <v>2</v>
      </c>
      <c r="H9" s="12">
        <f>'Piping &amp; Valves تجمعی'!H16</f>
        <v>0</v>
      </c>
      <c r="I9" s="13">
        <f>'Piping &amp; Valves تجمعی'!I16</f>
        <v>531.42999999999995</v>
      </c>
      <c r="J9" s="12">
        <f>'Piping &amp; Valves تجمعی'!J16</f>
        <v>0</v>
      </c>
      <c r="K9" s="46">
        <f>'Piping &amp; Valves تجمعی'!K16</f>
        <v>1062.8599999999999</v>
      </c>
      <c r="L9" s="416" t="str">
        <f>'Piping &amp; Valves تجمعی'!L16</f>
        <v xml:space="preserve">GATE  VALVE
FLANGED, CLASS 150, RAISED FACE, SERRATED FINISH, DESIGN CODE: ASME B16.34, BOLTED BONNET,  BOLTED GLAND,  SOLID WEDGE, OUTSIDE SCREW &amp; YOKE, RISING STEM THROUGH  HANDWHEEL, HANDWHEEL OPERATED, RENEWABLE SEAT, ANTI BLOWOUT STEM.
DIMENSIONS TO ANSI B 16.10
BODY: C.S., ASTM A 216 GR. WCB               
TRIM  : F6 
PACKING: SPIRAL WOUND ,ASBESTOS FREE. </v>
      </c>
      <c r="M9" s="393"/>
    </row>
    <row r="10" spans="1:13" ht="242.25" customHeight="1">
      <c r="A10" s="95" t="str">
        <f>'Piping &amp; Valves تجمعی'!A17</f>
        <v>تجهیزات لوله‌کشی تلمبه‌خانه رفسنجان</v>
      </c>
      <c r="B10" s="47">
        <f>'Piping &amp; Valves تجمعی'!B17</f>
        <v>10</v>
      </c>
      <c r="C10" s="14" t="str">
        <f>'Piping &amp; Valves تجمعی'!C17</f>
        <v>Gate Valve</v>
      </c>
      <c r="D10" s="15" t="str">
        <f>'Piping &amp; Valves تجمعی'!D17</f>
        <v>GAT VALVE WITH POST INDICATOR FLANGED, CLASS 150, RAISED FACE, SERRATED FINISH, DESIGN CODE: ASME B16.34, BOLTED BONNET, BOLTED GLAND, SOLID WEDGE, OUTSIDE SCREW &amp; YOKE, RISING STEM THROUGH HANDWHEEL, HANDWHEEL OPERATED, RENEWABLE SEAT, ANTI BLOWOUT STEM. DIMENSIONS TO ANSI B 16.10 BODY: C.S., ASTM A 216 GR. WCB 150# 12" Gate Valve</v>
      </c>
      <c r="E10" s="14" t="str">
        <f>'Piping &amp; Valves تجمعی'!E17</f>
        <v>12"</v>
      </c>
      <c r="F10" s="14" t="str">
        <f>'Piping &amp; Valves تجمعی'!F17</f>
        <v>NO</v>
      </c>
      <c r="G10" s="16">
        <f>'Piping &amp; Valves تجمعی'!G17</f>
        <v>3</v>
      </c>
      <c r="H10" s="17">
        <f>'Piping &amp; Valves تجمعی'!H17</f>
        <v>0</v>
      </c>
      <c r="I10" s="18">
        <f>'Piping &amp; Valves تجمعی'!I17</f>
        <v>1280.19</v>
      </c>
      <c r="J10" s="17">
        <f>'Piping &amp; Valves تجمعی'!J17</f>
        <v>0</v>
      </c>
      <c r="K10" s="48">
        <f>'Piping &amp; Valves تجمعی'!K17</f>
        <v>3840.57</v>
      </c>
      <c r="L10" s="416" t="str">
        <f>'Piping &amp; Valves تجمعی'!L17</f>
        <v xml:space="preserve">GATE  VALVE WITH POST INDICATOR
FLANGED, CLASS 150, RAISED FACE, SERRATED FINISH, DESIGN CODE: ASME B16.34, BOLTED BONNET,  BOLTED GLAND,  SOLID WEDGE, OUTSIDE SCREW &amp; YOKE, RISING STEM THROUGH  HANDWHEEL, HANDWHEEL OPERATED, RENEWABLE SEAT, ANTI BLOWOUT STEM.
DIMENSIONS TO ANSI B 16.10
BODY: C.S., ASTM A 216 GR. WCB               
TRIM  : F6 
PACKING: SPIRAL WOUND ,ASBESTOS FREE. </v>
      </c>
      <c r="M10" s="393"/>
    </row>
    <row r="11" spans="1:13" ht="242.25" customHeight="1">
      <c r="A11" s="103" t="str">
        <f>'Piping &amp; Valves تجمعی'!A45</f>
        <v xml:space="preserve"> تجهیزات لوله‌کشی تلمبه‌خانه یزد</v>
      </c>
      <c r="B11" s="47">
        <f>'Piping &amp; Valves تجمعی'!B45</f>
        <v>13</v>
      </c>
      <c r="C11" s="51" t="str">
        <f>'Piping &amp; Valves تجمعی'!C45</f>
        <v>Gate Valve</v>
      </c>
      <c r="D11" s="15" t="str">
        <f>'Piping &amp; Valves تجمعی'!D45</f>
        <v>GATE VALVE FLANGED, CLASS 150, 150# 6" Gate Valve</v>
      </c>
      <c r="E11" s="14" t="str">
        <f>'Piping &amp; Valves تجمعی'!E45</f>
        <v>6"</v>
      </c>
      <c r="F11" s="14" t="str">
        <f>'Piping &amp; Valves تجمعی'!F45</f>
        <v>NO</v>
      </c>
      <c r="G11" s="16">
        <f>'Piping &amp; Valves تجمعی'!G45</f>
        <v>11</v>
      </c>
      <c r="H11" s="17">
        <f>'Piping &amp; Valves تجمعی'!H45</f>
        <v>0</v>
      </c>
      <c r="I11" s="18">
        <f>'Piping &amp; Valves تجمعی'!I45</f>
        <v>550</v>
      </c>
      <c r="J11" s="17">
        <f>'Piping &amp; Valves تجمعی'!J45</f>
        <v>0</v>
      </c>
      <c r="K11" s="48">
        <f>'Piping &amp; Valves تجمعی'!K45</f>
        <v>6050</v>
      </c>
      <c r="L11" s="428" t="str">
        <f>'Piping &amp; Valves تجمعی'!L45</f>
        <v xml:space="preserve">GATE  VALVE
FLANGED, CLASS 150, RAISED FACE, SERRATED FINISH, DESIGN CODE: ASME B16.34, BOLTED BONNET,  BOLTED GLAND,  SOLID WEDGE, OUTSIDE SCREW &amp; YOKE, RISING STEM THROUGH  HANDWHEEL, WRENCH OPERATED, RENEWABLE SEAT, ANTI BLOWOUT STEM.
DIMENSIONS TO ASME B 16.10
BODY: C.S., ASTM A 216 GR. WCB               
TRIM  : F6 
PACKING: SPIRAL WOUND ,ASBESTOS FREE. </v>
      </c>
      <c r="M11" s="388"/>
    </row>
    <row r="12" spans="1:13" ht="242.25" customHeight="1">
      <c r="A12" s="103" t="str">
        <f>'Piping &amp; Valves تجمعی'!A46</f>
        <v xml:space="preserve"> تجهیزات لوله‌کشی تلمبه‌خانه یزد</v>
      </c>
      <c r="B12" s="45">
        <f>'Piping &amp; Valves تجمعی'!B46</f>
        <v>14</v>
      </c>
      <c r="C12" s="51" t="str">
        <f>'Piping &amp; Valves تجمعی'!C46</f>
        <v>Gate Valve</v>
      </c>
      <c r="D12" s="10" t="str">
        <f>'Piping &amp; Valves تجمعی'!D46</f>
        <v>GATE VALVE FLANGED, CLASS 600, 600# 14" Gate Valve</v>
      </c>
      <c r="E12" s="9" t="str">
        <f>'Piping &amp; Valves تجمعی'!E46</f>
        <v>14"</v>
      </c>
      <c r="F12" s="9" t="str">
        <f>'Piping &amp; Valves تجمعی'!F46</f>
        <v>NO</v>
      </c>
      <c r="G12" s="11">
        <f>'Piping &amp; Valves تجمعی'!G46</f>
        <v>1</v>
      </c>
      <c r="H12" s="12">
        <f>'Piping &amp; Valves تجمعی'!H46</f>
        <v>0</v>
      </c>
      <c r="I12" s="13">
        <f>'Piping &amp; Valves تجمعی'!I46</f>
        <v>7000</v>
      </c>
      <c r="J12" s="12">
        <f>'Piping &amp; Valves تجمعی'!J46</f>
        <v>0</v>
      </c>
      <c r="K12" s="46">
        <f>'Piping &amp; Valves تجمعی'!K46</f>
        <v>7000</v>
      </c>
      <c r="L12" s="433" t="str">
        <f>'Piping &amp; Valves تجمعی'!L46</f>
        <v xml:space="preserve">GATE  VALVE
FLANGED, CLASS 600, RAISED FACE, SERRATED FINISH, DESIGN CODE: ASME B16.34, BOLTED BONNET,  BOLTED GLAND,  SOLID WEDGE, OUTSIDE SCREW &amp; YOKE, RISING STEM THROUGH  HANDWHEEL,GEAR OPERATED, RENEWABLE SEAT, ANTI BLOWOUT STEM.
DIMENSIONS TO ASME B 16.10
BODY: C.S., ASTM A 216 GR. WCB               
TRIM  : F6 
PACKING: SPIRAL WOUND ,ASBESTOS FREE. </v>
      </c>
      <c r="M12" s="434"/>
    </row>
    <row r="13" spans="1:13" ht="242.25" customHeight="1">
      <c r="A13" s="103" t="str">
        <f>'Piping &amp; Valves تجمعی'!A47</f>
        <v xml:space="preserve"> تجهیزات لوله‌کشی تلمبه‌خانه یزد</v>
      </c>
      <c r="B13" s="47">
        <f>'Piping &amp; Valves تجمعی'!B47</f>
        <v>15</v>
      </c>
      <c r="C13" s="51" t="str">
        <f>'Piping &amp; Valves تجمعی'!C47</f>
        <v>Gate Valve</v>
      </c>
      <c r="D13" s="15" t="str">
        <f>'Piping &amp; Valves تجمعی'!D47</f>
        <v>GATE VALVE FLANGED, CLASS 600, 600# 16" Gate Valve</v>
      </c>
      <c r="E13" s="14" t="str">
        <f>'Piping &amp; Valves تجمعی'!E47</f>
        <v>16"</v>
      </c>
      <c r="F13" s="14" t="str">
        <f>'Piping &amp; Valves تجمعی'!F47</f>
        <v>NO</v>
      </c>
      <c r="G13" s="16">
        <f>'Piping &amp; Valves تجمعی'!G47</f>
        <v>1</v>
      </c>
      <c r="H13" s="17">
        <f>'Piping &amp; Valves تجمعی'!H47</f>
        <v>0</v>
      </c>
      <c r="I13" s="18">
        <f>'Piping &amp; Valves تجمعی'!I47</f>
        <v>14000</v>
      </c>
      <c r="J13" s="17">
        <f>'Piping &amp; Valves تجمعی'!J47</f>
        <v>0</v>
      </c>
      <c r="K13" s="48">
        <f>'Piping &amp; Valves تجمعی'!K47</f>
        <v>14000</v>
      </c>
      <c r="L13" s="435"/>
      <c r="M13" s="436"/>
    </row>
    <row r="14" spans="1:13" ht="242.25" customHeight="1">
      <c r="A14" s="103" t="str">
        <f>'Piping &amp; Valves تجمعی'!A48</f>
        <v xml:space="preserve"> تجهیزات لوله‌کشی تلمبه‌خانه یزد</v>
      </c>
      <c r="B14" s="45">
        <f>'Piping &amp; Valves تجمعی'!B48</f>
        <v>16</v>
      </c>
      <c r="C14" s="51" t="str">
        <f>'Piping &amp; Valves تجمعی'!C48</f>
        <v>Gate Valve</v>
      </c>
      <c r="D14" s="10" t="str">
        <f>'Piping &amp; Valves تجمعی'!D48</f>
        <v>GATE VALVE FLANGED, CLASS 900, 900# 6" Gate Valve</v>
      </c>
      <c r="E14" s="9" t="str">
        <f>'Piping &amp; Valves تجمعی'!E48</f>
        <v>6"</v>
      </c>
      <c r="F14" s="9" t="str">
        <f>'Piping &amp; Valves تجمعی'!F48</f>
        <v>NO</v>
      </c>
      <c r="G14" s="11">
        <f>'Piping &amp; Valves تجمعی'!G48</f>
        <v>1</v>
      </c>
      <c r="H14" s="12">
        <f>'Piping &amp; Valves تجمعی'!H48</f>
        <v>0</v>
      </c>
      <c r="I14" s="13">
        <f>'Piping &amp; Valves تجمعی'!I48</f>
        <v>3900</v>
      </c>
      <c r="J14" s="12">
        <f>'Piping &amp; Valves تجمعی'!J48</f>
        <v>0</v>
      </c>
      <c r="K14" s="46">
        <f>'Piping &amp; Valves تجمعی'!K48</f>
        <v>3900</v>
      </c>
      <c r="L14" s="433" t="str">
        <f>'Piping &amp; Valves تجمعی'!L48</f>
        <v xml:space="preserve">GATE  VALVE
FLANGED, CLASS 900, RAISED FACE, SERRATED FINISH, DESIGN CODE: ASME B16.34, BOLTED BONNET,  BOLTED GLAND,  SOLID WEDGE, OUTSIDE SCREW &amp; YOKE, RISING STEM THROUGH  HANDWHEEL, GEAR OPERATED, RENEWABLE SEAT, ANTI BLOWOUT STEM.
DIMENSIONS TO ASME B 16.10
BODY: C.S., ASTM A 216 GR. WCB               
TRIM  : F6 
PACKING: SPIRAL WOUND ,ASBESTOS FREE. </v>
      </c>
      <c r="M14" s="434"/>
    </row>
    <row r="15" spans="1:13" ht="242.25" customHeight="1">
      <c r="A15" s="103" t="str">
        <f>'Piping &amp; Valves تجمعی'!A49</f>
        <v xml:space="preserve"> تجهیزات لوله‌کشی تلمبه‌خانه یزد</v>
      </c>
      <c r="B15" s="47">
        <f>'Piping &amp; Valves تجمعی'!B49</f>
        <v>17</v>
      </c>
      <c r="C15" s="51" t="str">
        <f>'Piping &amp; Valves تجمعی'!C49</f>
        <v>Gate Valve</v>
      </c>
      <c r="D15" s="15" t="str">
        <f>'Piping &amp; Valves تجمعی'!D49</f>
        <v>GATE VALVE FLANGED, CLASS 900, 900# 14" Gate Valve</v>
      </c>
      <c r="E15" s="14" t="str">
        <f>'Piping &amp; Valves تجمعی'!E49</f>
        <v>14"</v>
      </c>
      <c r="F15" s="14" t="str">
        <f>'Piping &amp; Valves تجمعی'!F49</f>
        <v>NO</v>
      </c>
      <c r="G15" s="16">
        <f>'Piping &amp; Valves تجمعی'!G49</f>
        <v>4</v>
      </c>
      <c r="H15" s="17">
        <f>'Piping &amp; Valves تجمعی'!H49</f>
        <v>0</v>
      </c>
      <c r="I15" s="18">
        <f>'Piping &amp; Valves تجمعی'!I49</f>
        <v>23000</v>
      </c>
      <c r="J15" s="17">
        <f>'Piping &amp; Valves تجمعی'!J49</f>
        <v>0</v>
      </c>
      <c r="K15" s="48">
        <f>'Piping &amp; Valves تجمعی'!K49</f>
        <v>92000</v>
      </c>
      <c r="L15" s="435"/>
      <c r="M15" s="436"/>
    </row>
    <row r="16" spans="1:13" ht="24.75" thickBot="1">
      <c r="A16" s="75"/>
      <c r="B16" s="395" t="s">
        <v>75</v>
      </c>
      <c r="C16" s="396"/>
      <c r="D16" s="397"/>
      <c r="E16" s="397"/>
      <c r="F16" s="397"/>
      <c r="G16" s="56"/>
      <c r="H16" s="57"/>
      <c r="I16" s="58"/>
      <c r="J16" s="56">
        <f>SUM(J9:J15)</f>
        <v>0</v>
      </c>
      <c r="K16" s="59">
        <f>SUM(K9:K15)</f>
        <v>127853.43</v>
      </c>
    </row>
    <row r="17" ht="24.75" thickTop="1"/>
  </sheetData>
  <mergeCells count="16">
    <mergeCell ref="B1:B2"/>
    <mergeCell ref="D1:D2"/>
    <mergeCell ref="E1:I1"/>
    <mergeCell ref="J1:J2"/>
    <mergeCell ref="K1:K2"/>
    <mergeCell ref="E2:I2"/>
    <mergeCell ref="B16:F16"/>
    <mergeCell ref="B3:D3"/>
    <mergeCell ref="B5:K5"/>
    <mergeCell ref="A7:M7"/>
    <mergeCell ref="L8:M8"/>
    <mergeCell ref="L9:M9"/>
    <mergeCell ref="L10:M10"/>
    <mergeCell ref="L11:M11"/>
    <mergeCell ref="L12:M13"/>
    <mergeCell ref="L14:M15"/>
  </mergeCells>
  <hyperlinks>
    <hyperlink ref="B3" location="Dashboard!A1" display="◀ بازگشت به داشبورد" xr:uid="{8104D8F2-21AC-4CDB-A0AB-891901870FAE}"/>
  </hyperlinks>
  <pageMargins left="0.75" right="0.75" top="1" bottom="1" header="0.5" footer="0.5"/>
  <pageSetup paperSize="9" fitToHeight="0"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019F-C8D1-4843-A4BB-0FBD70C65AAE}">
  <sheetPr codeName="Sheet13">
    <tabColor theme="3"/>
    <pageSetUpPr fitToPage="1"/>
  </sheetPr>
  <dimension ref="A1:M20"/>
  <sheetViews>
    <sheetView showGridLines="0" zoomScale="70" zoomScaleNormal="70" workbookViewId="0">
      <selection activeCell="B3" sqref="B3:D3"/>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657</v>
      </c>
      <c r="B7" s="467"/>
      <c r="C7" s="467"/>
      <c r="D7" s="467"/>
      <c r="E7" s="467"/>
      <c r="F7" s="467"/>
      <c r="G7" s="467"/>
      <c r="H7" s="467"/>
      <c r="I7" s="467"/>
      <c r="J7" s="467"/>
      <c r="K7" s="467"/>
      <c r="L7" s="467"/>
      <c r="M7" s="468"/>
    </row>
    <row r="8" spans="1:13" ht="33">
      <c r="A8" s="71" t="s">
        <v>506</v>
      </c>
      <c r="B8" s="97" t="s">
        <v>35</v>
      </c>
      <c r="C8" s="34" t="s">
        <v>393</v>
      </c>
      <c r="D8" s="34" t="s">
        <v>523</v>
      </c>
      <c r="E8" s="34" t="s">
        <v>37</v>
      </c>
      <c r="F8" s="34" t="s">
        <v>38</v>
      </c>
      <c r="G8" s="34" t="s">
        <v>39</v>
      </c>
      <c r="H8" s="34" t="s">
        <v>40</v>
      </c>
      <c r="I8" s="34" t="s">
        <v>41</v>
      </c>
      <c r="J8" s="34" t="s">
        <v>42</v>
      </c>
      <c r="K8" s="44" t="s">
        <v>43</v>
      </c>
      <c r="L8" s="423" t="s">
        <v>480</v>
      </c>
      <c r="M8" s="386"/>
    </row>
    <row r="9" spans="1:13" ht="33" customHeight="1">
      <c r="A9" s="95" t="str">
        <f>'Piping &amp; Valves تجمعی'!A23</f>
        <v>تجهیزات لوله‌کشی تلمبه‌خانه رفسنجان</v>
      </c>
      <c r="B9" s="47">
        <f>'Piping &amp; Valves تجمعی'!B23</f>
        <v>16</v>
      </c>
      <c r="C9" s="14" t="str">
        <f>'Piping &amp; Valves تجمعی'!C23</f>
        <v>Chock Valve</v>
      </c>
      <c r="D9" s="15" t="str">
        <f>'Piping &amp; Valves تجمعی'!D23</f>
        <v>CHOCK VALVE RTJ, SERRATED FINISH, CLASS 1500 acc. To attachment 1500# 8" Chock Valve</v>
      </c>
      <c r="E9" s="14" t="str">
        <f>'Piping &amp; Valves تجمعی'!E23</f>
        <v>8"</v>
      </c>
      <c r="F9" s="14" t="str">
        <f>'Piping &amp; Valves تجمعی'!F23</f>
        <v>NO</v>
      </c>
      <c r="G9" s="16">
        <f>'Piping &amp; Valves تجمعی'!G23</f>
        <v>1</v>
      </c>
      <c r="H9" s="17">
        <f>'Piping &amp; Valves تجمعی'!H23</f>
        <v>0</v>
      </c>
      <c r="I9" s="18">
        <f>'Piping &amp; Valves تجمعی'!I23</f>
        <v>5371.23</v>
      </c>
      <c r="J9" s="17">
        <f>'Piping &amp; Valves تجمعی'!J23</f>
        <v>0</v>
      </c>
      <c r="K9" s="48">
        <f>'Piping &amp; Valves تجمعی'!K23</f>
        <v>5371.23</v>
      </c>
      <c r="L9" s="446" t="str">
        <f>'Piping &amp; Valves تجمعی'!L23</f>
        <v>CHOCK  VALVE
FLANGED, RTJ, SERRATED  FINISH, CLASS 1500 acc . To attachment 10 of contract.</v>
      </c>
      <c r="M9" s="412"/>
    </row>
    <row r="10" spans="1:13" ht="33" customHeight="1">
      <c r="A10" s="95" t="str">
        <f>'Piping &amp; Valves تجمعی'!A24</f>
        <v>تجهیزات لوله‌کشی تلمبه‌خانه رفسنجان</v>
      </c>
      <c r="B10" s="45">
        <f>'Piping &amp; Valves تجمعی'!B24</f>
        <v>17</v>
      </c>
      <c r="C10" s="9" t="str">
        <f>'Piping &amp; Valves تجمعی'!C24</f>
        <v>Chock Valve</v>
      </c>
      <c r="D10" s="10" t="str">
        <f>'Piping &amp; Valves تجمعی'!D24</f>
        <v>CHOCK VALVE FLANGED, RAISED FACE, SERRATED FINISH, CLASS 150 acc. To 150# 8" Chock Valve</v>
      </c>
      <c r="E10" s="9" t="str">
        <f>'Piping &amp; Valves تجمعی'!E24</f>
        <v>8"</v>
      </c>
      <c r="F10" s="9" t="str">
        <f>'Piping &amp; Valves تجمعی'!F24</f>
        <v>NO</v>
      </c>
      <c r="G10" s="11">
        <f>'Piping &amp; Valves تجمعی'!G24</f>
        <v>1</v>
      </c>
      <c r="H10" s="12">
        <f>'Piping &amp; Valves تجمعی'!H24</f>
        <v>0</v>
      </c>
      <c r="I10" s="13">
        <f>'Piping &amp; Valves تجمعی'!I24</f>
        <v>887.32</v>
      </c>
      <c r="J10" s="12">
        <f>'Piping &amp; Valves تجمعی'!J24</f>
        <v>0</v>
      </c>
      <c r="K10" s="46">
        <f>'Piping &amp; Valves تجمعی'!K24</f>
        <v>887.32</v>
      </c>
      <c r="L10" s="446" t="str">
        <f>'Piping &amp; Valves تجمعی'!L24</f>
        <v>CHOCK  VALVE
FLANGED, RAISED FACE, SERRATED  FINISH, CLASS 150 acc . To attachment 10 of contract.</v>
      </c>
      <c r="M10" s="412"/>
    </row>
    <row r="11" spans="1:13" ht="24" customHeight="1">
      <c r="A11" s="103" t="str">
        <f>'Piping &amp; Valves تجمعی'!A66</f>
        <v xml:space="preserve"> تجهیزات لوله‌کشی تلمبه‌خانه یزد</v>
      </c>
      <c r="B11" s="45">
        <f>'Piping &amp; Valves تجمعی'!B66</f>
        <v>34</v>
      </c>
      <c r="C11" s="51" t="str">
        <f>'Piping &amp; Valves تجمعی'!C66</f>
        <v>Chock Valve</v>
      </c>
      <c r="D11" s="10" t="str">
        <f>'Piping &amp; Valves تجمعی'!D66</f>
        <v>CHOCK VALVE FLANGED, CLASS 900, 900# 8" Chock Valve</v>
      </c>
      <c r="E11" s="9" t="str">
        <f>'Piping &amp; Valves تجمعی'!E66</f>
        <v>8"</v>
      </c>
      <c r="F11" s="9" t="str">
        <f>'Piping &amp; Valves تجمعی'!F66</f>
        <v>NO</v>
      </c>
      <c r="G11" s="11">
        <f>'Piping &amp; Valves تجمعی'!G66</f>
        <v>1</v>
      </c>
      <c r="H11" s="12">
        <f>'Piping &amp; Valves تجمعی'!H66</f>
        <v>0</v>
      </c>
      <c r="I11" s="13">
        <f>'Piping &amp; Valves تجمعی'!I66</f>
        <v>3700</v>
      </c>
      <c r="J11" s="12">
        <f>'Piping &amp; Valves تجمعی'!J66</f>
        <v>0</v>
      </c>
      <c r="K11" s="46">
        <f>'Piping &amp; Valves تجمعی'!K66</f>
        <v>3700</v>
      </c>
      <c r="L11" s="428" t="str">
        <f>'Piping &amp; Valves تجمعی'!L66</f>
        <v>CHOCK  VALVE
FLANGED, RAISED FACE, SERRATED  FINISH, CLASS 900</v>
      </c>
      <c r="M11" s="388"/>
    </row>
    <row r="12" spans="1:13" ht="24" customHeight="1">
      <c r="A12" s="103" t="str">
        <f>'Piping &amp; Valves تجمعی'!A67</f>
        <v xml:space="preserve"> تجهیزات لوله‌کشی تلمبه‌خانه یزد</v>
      </c>
      <c r="B12" s="47">
        <f>'Piping &amp; Valves تجمعی'!B67</f>
        <v>35</v>
      </c>
      <c r="C12" s="51" t="str">
        <f>'Piping &amp; Valves تجمعی'!C67</f>
        <v>Chock Valve</v>
      </c>
      <c r="D12" s="15" t="str">
        <f>'Piping &amp; Valves تجمعی'!D67</f>
        <v>CHOCK VALVE FLANGED, CLASS 150, 150# 8" Chock Valve</v>
      </c>
      <c r="E12" s="14" t="str">
        <f>'Piping &amp; Valves تجمعی'!E67</f>
        <v>8"</v>
      </c>
      <c r="F12" s="14" t="str">
        <f>'Piping &amp; Valves تجمعی'!F67</f>
        <v>NO</v>
      </c>
      <c r="G12" s="16">
        <f>'Piping &amp; Valves تجمعی'!G67</f>
        <v>1</v>
      </c>
      <c r="H12" s="17">
        <f>'Piping &amp; Valves تجمعی'!H67</f>
        <v>0</v>
      </c>
      <c r="I12" s="18">
        <f>'Piping &amp; Valves تجمعی'!I67</f>
        <v>900</v>
      </c>
      <c r="J12" s="17">
        <f>'Piping &amp; Valves تجمعی'!J67</f>
        <v>0</v>
      </c>
      <c r="K12" s="48">
        <f>'Piping &amp; Valves تجمعی'!K67</f>
        <v>900</v>
      </c>
      <c r="L12" s="428" t="str">
        <f>'Piping &amp; Valves تجمعی'!L67</f>
        <v>CHOCK  VALVE
FLANGED, RAISED FACE, SERRATED  FINISH, CLASS 150</v>
      </c>
      <c r="M12" s="388"/>
    </row>
    <row r="13" spans="1:13" ht="24.75" thickBot="1">
      <c r="A13" s="75"/>
      <c r="B13" s="395" t="s">
        <v>75</v>
      </c>
      <c r="C13" s="396"/>
      <c r="D13" s="397"/>
      <c r="E13" s="397"/>
      <c r="F13" s="397"/>
      <c r="G13" s="56"/>
      <c r="H13" s="57"/>
      <c r="I13" s="58"/>
      <c r="J13" s="56">
        <f>SUM(J9:J12)</f>
        <v>0</v>
      </c>
      <c r="K13" s="59">
        <f>SUM(K9:K12)</f>
        <v>10858.55</v>
      </c>
    </row>
    <row r="14" spans="1:13" ht="24.75" thickTop="1"/>
    <row r="20" ht="15" customHeight="1"/>
  </sheetData>
  <mergeCells count="15">
    <mergeCell ref="B3:D3"/>
    <mergeCell ref="B5:K5"/>
    <mergeCell ref="A7:M7"/>
    <mergeCell ref="L8:M8"/>
    <mergeCell ref="B1:B2"/>
    <mergeCell ref="D1:D2"/>
    <mergeCell ref="E1:I1"/>
    <mergeCell ref="J1:J2"/>
    <mergeCell ref="K1:K2"/>
    <mergeCell ref="E2:I2"/>
    <mergeCell ref="B13:F13"/>
    <mergeCell ref="L12:M12"/>
    <mergeCell ref="L9:M9"/>
    <mergeCell ref="L10:M10"/>
    <mergeCell ref="L11:M11"/>
  </mergeCells>
  <hyperlinks>
    <hyperlink ref="B3" location="Dashboard!A1" display="◀ بازگشت به داشبورد" xr:uid="{38A25F5D-411C-4D9A-AC60-81BE5B2F137C}"/>
  </hyperlinks>
  <pageMargins left="0.75" right="0.75" top="1" bottom="1" header="0.5" footer="0.5"/>
  <pageSetup paperSize="9" fitToHeight="0"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A1262-0423-4B48-BCD0-9AA78BE2F98C}">
  <sheetPr codeName="Sheet16">
    <tabColor theme="3"/>
    <pageSetUpPr fitToPage="1"/>
  </sheetPr>
  <dimension ref="A1:M15"/>
  <sheetViews>
    <sheetView showGridLines="0" zoomScale="70" zoomScaleNormal="70" workbookViewId="0">
      <selection activeCell="B3" sqref="B3:D3"/>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660</v>
      </c>
      <c r="B7" s="467"/>
      <c r="C7" s="467"/>
      <c r="D7" s="467"/>
      <c r="E7" s="467"/>
      <c r="F7" s="467"/>
      <c r="G7" s="467"/>
      <c r="H7" s="467"/>
      <c r="I7" s="467"/>
      <c r="J7" s="467"/>
      <c r="K7" s="467"/>
      <c r="L7" s="467"/>
      <c r="M7" s="468"/>
    </row>
    <row r="8" spans="1:13" ht="33">
      <c r="A8" s="71" t="s">
        <v>506</v>
      </c>
      <c r="B8" s="97" t="s">
        <v>35</v>
      </c>
      <c r="C8" s="34" t="s">
        <v>393</v>
      </c>
      <c r="D8" s="34" t="s">
        <v>523</v>
      </c>
      <c r="E8" s="34" t="s">
        <v>37</v>
      </c>
      <c r="F8" s="34" t="s">
        <v>38</v>
      </c>
      <c r="G8" s="34" t="s">
        <v>39</v>
      </c>
      <c r="H8" s="34" t="s">
        <v>40</v>
      </c>
      <c r="I8" s="34" t="s">
        <v>41</v>
      </c>
      <c r="J8" s="34" t="s">
        <v>42</v>
      </c>
      <c r="K8" s="44" t="s">
        <v>43</v>
      </c>
      <c r="L8" s="423" t="s">
        <v>480</v>
      </c>
      <c r="M8" s="386"/>
    </row>
    <row r="9" spans="1:13" ht="123.75" customHeight="1">
      <c r="A9" s="95" t="str">
        <f>'Piping &amp; Valves تجمعی'!A28</f>
        <v>تجهیزات لوله‌کشی تلمبه‌خانه رفسنجان</v>
      </c>
      <c r="B9" s="45">
        <f>'Piping &amp; Valves تجمعی'!B28</f>
        <v>21</v>
      </c>
      <c r="C9" s="9" t="str">
        <f>'Piping &amp; Valves تجمعی'!C28</f>
        <v>GLOBE VALVE</v>
      </c>
      <c r="D9" s="10" t="str">
        <f>'Piping &amp; Valves تجمعی'!D28</f>
        <v>GLOBE VALVE CLASS 1500, FLANGED RTJ, TO ASME B16.34, BOLTED BONNET, BOLTED GLAND, OS &amp; Y, GEAR OPERATED SWIVEL PLUG TYPE DISC BODY : FCS, ASTM A 216 WCB TRIM : F6 1500# 14" GLOBE VALVE</v>
      </c>
      <c r="E9" s="9" t="str">
        <f>'Piping &amp; Valves تجمعی'!E28</f>
        <v>14"</v>
      </c>
      <c r="F9" s="9" t="str">
        <f>'Piping &amp; Valves تجمعی'!F28</f>
        <v>NO</v>
      </c>
      <c r="G9" s="11">
        <f>'Piping &amp; Valves تجمعی'!G28</f>
        <v>1</v>
      </c>
      <c r="H9" s="12">
        <f>'Piping &amp; Valves تجمعی'!H28</f>
        <v>0</v>
      </c>
      <c r="I9" s="13">
        <f>'Piping &amp; Valves تجمعی'!I28</f>
        <v>19896.18</v>
      </c>
      <c r="J9" s="12">
        <f>'Piping &amp; Valves تجمعی'!J28</f>
        <v>0</v>
      </c>
      <c r="K9" s="46">
        <f>'Piping &amp; Valves تجمعی'!K28</f>
        <v>19896.18</v>
      </c>
      <c r="L9" s="416" t="str">
        <f>'Piping &amp; Valves تجمعی'!L28</f>
        <v>GLOBE  VALVE
CLASS 1500,  FLANGED RTJ, TO ASME B16.34, BOLTED BONNET, BOLTED GLAND,  OS &amp; Y, GEAR OPERATED SWIVEL PLUG TYPE DISC
BODY : FCS, ASTM A 216 WCB
TRIM   : F6
PACKING: SPIRAL WOUND ,ASBESTOS FREE</v>
      </c>
      <c r="M9" s="393"/>
    </row>
    <row r="10" spans="1:13" ht="24.75" thickBot="1">
      <c r="A10" s="75"/>
      <c r="B10" s="395" t="s">
        <v>75</v>
      </c>
      <c r="C10" s="396"/>
      <c r="D10" s="397"/>
      <c r="E10" s="397"/>
      <c r="F10" s="397"/>
      <c r="G10" s="56"/>
      <c r="H10" s="57"/>
      <c r="I10" s="58"/>
      <c r="J10" s="56">
        <f>SUM(J9)</f>
        <v>0</v>
      </c>
      <c r="K10" s="59">
        <f>SUM(K9)</f>
        <v>19896.18</v>
      </c>
    </row>
    <row r="11" spans="1:13" ht="24.75" thickTop="1"/>
    <row r="15" spans="1:13" s="76" customFormat="1" ht="15" customHeight="1">
      <c r="B15" s="49"/>
      <c r="C15" s="49"/>
      <c r="D15" s="49"/>
      <c r="E15" s="49"/>
      <c r="F15" s="49"/>
      <c r="G15" s="2"/>
      <c r="H15" s="2"/>
      <c r="I15" s="2"/>
      <c r="J15" s="2"/>
      <c r="K15" s="2"/>
      <c r="L15" s="55"/>
      <c r="M15" s="55"/>
    </row>
  </sheetData>
  <mergeCells count="12">
    <mergeCell ref="B1:B2"/>
    <mergeCell ref="D1:D2"/>
    <mergeCell ref="E1:I1"/>
    <mergeCell ref="J1:J2"/>
    <mergeCell ref="K1:K2"/>
    <mergeCell ref="E2:I2"/>
    <mergeCell ref="L9:M9"/>
    <mergeCell ref="B10:F10"/>
    <mergeCell ref="B3:D3"/>
    <mergeCell ref="B5:K5"/>
    <mergeCell ref="A7:M7"/>
    <mergeCell ref="L8:M8"/>
  </mergeCells>
  <hyperlinks>
    <hyperlink ref="B3" location="Dashboard!A1" display="◀ بازگشت به داشبورد" xr:uid="{8501D037-7D2C-4193-9D0E-D2352D1B1748}"/>
  </hyperlinks>
  <pageMargins left="0.75" right="0.75" top="1" bottom="1" header="0.5" footer="0.5"/>
  <pageSetup paperSize="9" fitToHeight="0"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D9AC-9538-4D14-B09C-88A9E8EA95FA}">
  <sheetPr codeName="Sheet17">
    <tabColor theme="3"/>
    <pageSetUpPr fitToPage="1"/>
  </sheetPr>
  <dimension ref="A1:M13"/>
  <sheetViews>
    <sheetView showGridLines="0" topLeftCell="B1" zoomScale="70" zoomScaleNormal="70" workbookViewId="0">
      <selection activeCell="B3" sqref="B3:D3"/>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658</v>
      </c>
      <c r="B7" s="467"/>
      <c r="C7" s="467"/>
      <c r="D7" s="467"/>
      <c r="E7" s="467"/>
      <c r="F7" s="467"/>
      <c r="G7" s="467"/>
      <c r="H7" s="467"/>
      <c r="I7" s="467"/>
      <c r="J7" s="467"/>
      <c r="K7" s="467"/>
      <c r="L7" s="467"/>
      <c r="M7" s="468"/>
    </row>
    <row r="8" spans="1:13" ht="69.95" customHeight="1">
      <c r="A8" s="71" t="s">
        <v>506</v>
      </c>
      <c r="B8" s="97" t="s">
        <v>35</v>
      </c>
      <c r="C8" s="34" t="s">
        <v>393</v>
      </c>
      <c r="D8" s="34" t="s">
        <v>523</v>
      </c>
      <c r="E8" s="34" t="s">
        <v>37</v>
      </c>
      <c r="F8" s="34" t="s">
        <v>38</v>
      </c>
      <c r="G8" s="34" t="s">
        <v>39</v>
      </c>
      <c r="H8" s="34" t="s">
        <v>40</v>
      </c>
      <c r="I8" s="34" t="s">
        <v>41</v>
      </c>
      <c r="J8" s="34" t="s">
        <v>42</v>
      </c>
      <c r="K8" s="44" t="s">
        <v>43</v>
      </c>
      <c r="L8" s="423" t="s">
        <v>480</v>
      </c>
      <c r="M8" s="386"/>
    </row>
    <row r="9" spans="1:13" ht="69.95" customHeight="1">
      <c r="A9" s="103" t="str">
        <f>'Piping &amp; Valves تجمعی'!A68</f>
        <v xml:space="preserve"> تجهیزات لوله‌کشی تلمبه‌خانه یزد</v>
      </c>
      <c r="B9" s="45">
        <f>'Piping &amp; Valves تجمعی'!B68</f>
        <v>36</v>
      </c>
      <c r="C9" s="50" t="str">
        <f>'Piping &amp; Valves تجمعی'!C68</f>
        <v>EXPANSION JOINT</v>
      </c>
      <c r="D9" s="10" t="str">
        <f>'Piping &amp; Valves تجمعی'!D68</f>
        <v>EXPANSION JOINT SPOOL TYPE, 150# 14" Expansion Joint</v>
      </c>
      <c r="E9" s="9" t="str">
        <f>'Piping &amp; Valves تجمعی'!E68</f>
        <v>14"</v>
      </c>
      <c r="F9" s="9" t="str">
        <f>'Piping &amp; Valves تجمعی'!F68</f>
        <v>NO</v>
      </c>
      <c r="G9" s="11">
        <f>'Piping &amp; Valves تجمعی'!G68</f>
        <v>3</v>
      </c>
      <c r="H9" s="12">
        <f>'Piping &amp; Valves تجمعی'!H68</f>
        <v>0</v>
      </c>
      <c r="I9" s="13">
        <f>'Piping &amp; Valves تجمعی'!I68</f>
        <v>11</v>
      </c>
      <c r="J9" s="12">
        <f>'Piping &amp; Valves تجمعی'!J68</f>
        <v>0</v>
      </c>
      <c r="K9" s="46">
        <f>'Piping &amp; Valves تجمعی'!K68</f>
        <v>33</v>
      </c>
      <c r="L9" s="424" t="str">
        <f>'Piping &amp; Valves تجمعی'!L68</f>
        <v>EXPANSION JOINT
SPOOL TYPE, WITH NBR SYNTHETIC RUBBER AND CANVAS, OPEN ARC, COMPLETED WITH STEEL CABLE LAYERS (WIRES),
EACH EXPANSION JOINT HAS TWO FULL FLAT FACED REINFORCED RUBBER FLANGES SUPPORTED  BY STEEL BACKING PLATES AND DRILLING TO ASME B16.5 CLASS 150, WORKING PRESSURE 150 PSI  AT 85 DEG. C. VENDOR SHALL SPECIFIED ALLOWABLE AXIAL AND LATERAL MOVEMENT.</v>
      </c>
      <c r="M9" s="425"/>
    </row>
    <row r="10" spans="1:13" ht="69.95" customHeight="1">
      <c r="A10" s="103" t="str">
        <f>'Piping &amp; Valves تجمعی'!A69</f>
        <v xml:space="preserve"> تجهیزات لوله‌کشی تلمبه‌خانه یزد</v>
      </c>
      <c r="B10" s="47">
        <f>'Piping &amp; Valves تجمعی'!B69</f>
        <v>37</v>
      </c>
      <c r="C10" s="50" t="str">
        <f>'Piping &amp; Valves تجمعی'!C69</f>
        <v>EXPANSION JOINT</v>
      </c>
      <c r="D10" s="15" t="str">
        <f>'Piping &amp; Valves تجمعی'!D69</f>
        <v>EXPANSION JOINT SPOOL TYPE, 150# 18" Expansion Joint</v>
      </c>
      <c r="E10" s="14" t="str">
        <f>'Piping &amp; Valves تجمعی'!E69</f>
        <v>18"</v>
      </c>
      <c r="F10" s="14" t="str">
        <f>'Piping &amp; Valves تجمعی'!F69</f>
        <v>NO</v>
      </c>
      <c r="G10" s="16">
        <f>'Piping &amp; Valves تجمعی'!G69</f>
        <v>1</v>
      </c>
      <c r="H10" s="17">
        <f>'Piping &amp; Valves تجمعی'!H69</f>
        <v>0</v>
      </c>
      <c r="I10" s="18">
        <f>'Piping &amp; Valves تجمعی'!I69</f>
        <v>16</v>
      </c>
      <c r="J10" s="17">
        <f>'Piping &amp; Valves تجمعی'!J69</f>
        <v>0</v>
      </c>
      <c r="K10" s="48">
        <f>'Piping &amp; Valves تجمعی'!K69</f>
        <v>16</v>
      </c>
      <c r="L10" s="429"/>
      <c r="M10" s="430"/>
    </row>
    <row r="11" spans="1:13" ht="69.95" customHeight="1">
      <c r="A11" s="103" t="str">
        <f>'Piping &amp; Valves تجمعی'!A70</f>
        <v xml:space="preserve"> تجهیزات لوله‌کشی تلمبه‌خانه یزد</v>
      </c>
      <c r="B11" s="45">
        <f>'Piping &amp; Valves تجمعی'!B70</f>
        <v>38</v>
      </c>
      <c r="C11" s="50" t="str">
        <f>'Piping &amp; Valves تجمعی'!C70</f>
        <v>EXPANSION JOINT</v>
      </c>
      <c r="D11" s="10" t="str">
        <f>'Piping &amp; Valves تجمعی'!D70</f>
        <v>EXPANSION JOINT SPOOL TYPE, 150# 28" Expansion Joint</v>
      </c>
      <c r="E11" s="9" t="str">
        <f>'Piping &amp; Valves تجمعی'!E70</f>
        <v>28"</v>
      </c>
      <c r="F11" s="9" t="str">
        <f>'Piping &amp; Valves تجمعی'!F70</f>
        <v>NO</v>
      </c>
      <c r="G11" s="11">
        <f>'Piping &amp; Valves تجمعی'!G70</f>
        <v>2</v>
      </c>
      <c r="H11" s="12">
        <f>'Piping &amp; Valves تجمعی'!H70</f>
        <v>0</v>
      </c>
      <c r="I11" s="13">
        <f>'Piping &amp; Valves تجمعی'!I70</f>
        <v>25</v>
      </c>
      <c r="J11" s="12">
        <f>'Piping &amp; Valves تجمعی'!J70</f>
        <v>0</v>
      </c>
      <c r="K11" s="46">
        <f>'Piping &amp; Valves تجمعی'!K70</f>
        <v>50</v>
      </c>
      <c r="L11" s="426"/>
      <c r="M11" s="427"/>
    </row>
    <row r="12" spans="1:13" ht="69.95" customHeight="1" thickBot="1">
      <c r="A12" s="75"/>
      <c r="B12" s="395" t="s">
        <v>75</v>
      </c>
      <c r="C12" s="396"/>
      <c r="D12" s="397"/>
      <c r="E12" s="397"/>
      <c r="F12" s="397"/>
      <c r="G12" s="56"/>
      <c r="H12" s="57"/>
      <c r="I12" s="58"/>
      <c r="J12" s="56">
        <f>SUM(J9:J11)</f>
        <v>0</v>
      </c>
      <c r="K12" s="59">
        <f>SUM(K9:K11)</f>
        <v>99</v>
      </c>
    </row>
    <row r="13" spans="1:13" ht="15" customHeight="1" thickTop="1"/>
  </sheetData>
  <mergeCells count="12">
    <mergeCell ref="K1:K2"/>
    <mergeCell ref="E2:I2"/>
    <mergeCell ref="B12:F12"/>
    <mergeCell ref="B1:B2"/>
    <mergeCell ref="D1:D2"/>
    <mergeCell ref="E1:I1"/>
    <mergeCell ref="J1:J2"/>
    <mergeCell ref="B3:D3"/>
    <mergeCell ref="B5:K5"/>
    <mergeCell ref="A7:M7"/>
    <mergeCell ref="L8:M8"/>
    <mergeCell ref="L9:M11"/>
  </mergeCells>
  <hyperlinks>
    <hyperlink ref="B3" location="Dashboard!A1" display="◀ بازگشت به داشبورد" xr:uid="{593B4CA0-6F99-42C4-8C2F-1A04EA71A830}"/>
  </hyperlinks>
  <pageMargins left="0.75" right="0.75" top="1" bottom="1" header="0.5" footer="0.5"/>
  <pageSetup paperSize="9" fitToHeight="0"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970D-75A6-4945-98CB-3CB0B2F7946A}">
  <sheetPr codeName="Sheet14">
    <tabColor theme="3"/>
    <pageSetUpPr fitToPage="1"/>
  </sheetPr>
  <dimension ref="A1:M12"/>
  <sheetViews>
    <sheetView showGridLines="0" zoomScale="70" zoomScaleNormal="70" workbookViewId="0">
      <selection activeCell="B3" sqref="B3:D3"/>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9.140625" style="55"/>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32</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661</v>
      </c>
      <c r="B7" s="467"/>
      <c r="C7" s="467"/>
      <c r="D7" s="467"/>
      <c r="E7" s="467"/>
      <c r="F7" s="467"/>
      <c r="G7" s="467"/>
      <c r="H7" s="467"/>
      <c r="I7" s="467"/>
      <c r="J7" s="467"/>
      <c r="K7" s="467"/>
      <c r="L7" s="467"/>
      <c r="M7" s="468"/>
    </row>
    <row r="8" spans="1:13" ht="69.95" customHeight="1">
      <c r="A8" s="71" t="s">
        <v>506</v>
      </c>
      <c r="B8" s="97" t="s">
        <v>35</v>
      </c>
      <c r="C8" s="34" t="s">
        <v>393</v>
      </c>
      <c r="D8" s="34" t="s">
        <v>523</v>
      </c>
      <c r="E8" s="34" t="s">
        <v>37</v>
      </c>
      <c r="F8" s="34" t="s">
        <v>38</v>
      </c>
      <c r="G8" s="34" t="s">
        <v>39</v>
      </c>
      <c r="H8" s="34" t="s">
        <v>40</v>
      </c>
      <c r="I8" s="34" t="s">
        <v>41</v>
      </c>
      <c r="J8" s="34" t="s">
        <v>42</v>
      </c>
      <c r="K8" s="44" t="s">
        <v>43</v>
      </c>
      <c r="L8" s="423" t="s">
        <v>480</v>
      </c>
      <c r="M8" s="386"/>
    </row>
    <row r="9" spans="1:13" ht="69.95" customHeight="1">
      <c r="A9" s="95" t="str">
        <f>'Piping &amp; Valves تجمعی'!A29</f>
        <v>تجهیزات لوله‌کشی تلمبه‌خانه رفسنجان</v>
      </c>
      <c r="B9" s="47">
        <f>'Piping &amp; Valves تجمعی'!B29</f>
        <v>22</v>
      </c>
      <c r="C9" s="14" t="str">
        <f>'Piping &amp; Valves تجمعی'!C29</f>
        <v>BULK</v>
      </c>
      <c r="D9" s="15" t="str">
        <f>'Piping &amp; Valves تجمعی'!D29</f>
        <v>Bulk Piping Equipment / بالك تجهيزات لوله‌کشی تلمبه‌خانه رفسنجان (مطابق شرح خدمات پیوست ۱۰)</v>
      </c>
      <c r="E9" s="14" t="str">
        <f>'Piping &amp; Valves تجمعی'!E29</f>
        <v>Bulk</v>
      </c>
      <c r="F9" s="14" t="str">
        <f>'Piping &amp; Valves تجمعی'!F29</f>
        <v>يكقلم</v>
      </c>
      <c r="G9" s="16">
        <f>'Piping &amp; Valves تجمعی'!G29</f>
        <v>1</v>
      </c>
      <c r="H9" s="17">
        <f>'Piping &amp; Valves تجمعی'!H29</f>
        <v>0</v>
      </c>
      <c r="I9" s="18">
        <f>'Piping &amp; Valves تجمعی'!I29</f>
        <v>150000</v>
      </c>
      <c r="J9" s="17">
        <f>'Piping &amp; Valves تجمعی'!J29</f>
        <v>0</v>
      </c>
      <c r="K9" s="48">
        <f>'Piping &amp; Valves تجمعی'!K29</f>
        <v>150000</v>
      </c>
      <c r="L9" s="431" t="str">
        <f>'Piping &amp; Valves تجمعی'!L29</f>
        <v>(مطابق شرح خدمات پیوست ۱۰)</v>
      </c>
      <c r="M9" s="390"/>
    </row>
    <row r="10" spans="1:13" ht="69.95" customHeight="1">
      <c r="A10" s="103" t="str">
        <f>'Piping &amp; Valves تجمعی'!A71</f>
        <v xml:space="preserve"> تجهیزات لوله‌کشی تلمبه‌خانه یزد</v>
      </c>
      <c r="B10" s="47">
        <f>'Piping &amp; Valves تجمعی'!B71</f>
        <v>39</v>
      </c>
      <c r="C10" s="14" t="str">
        <f>'Piping &amp; Valves تجمعی'!C71</f>
        <v>bulk</v>
      </c>
      <c r="D10" s="15" t="str">
        <f>'Piping &amp; Valves تجمعی'!D71</f>
        <v>Bulk Piping Equipment / بالك تجهيزات لوله‌کشی تلمبه‌خانه یزد (مطابق شرح خدمات پیوست ۱۰)</v>
      </c>
      <c r="E10" s="14" t="str">
        <f>'Piping &amp; Valves تجمعی'!E71</f>
        <v>Bulk</v>
      </c>
      <c r="F10" s="14" t="str">
        <f>'Piping &amp; Valves تجمعی'!F71</f>
        <v>يكقلم</v>
      </c>
      <c r="G10" s="16">
        <f>'Piping &amp; Valves تجمعی'!G71</f>
        <v>1</v>
      </c>
      <c r="H10" s="17">
        <f>'Piping &amp; Valves تجمعی'!H71</f>
        <v>0</v>
      </c>
      <c r="I10" s="18">
        <f>'Piping &amp; Valves تجمعی'!I71</f>
        <v>2500</v>
      </c>
      <c r="J10" s="17">
        <f>'Piping &amp; Valves تجمعی'!J71</f>
        <v>0</v>
      </c>
      <c r="K10" s="48">
        <f>'Piping &amp; Valves تجمعی'!K71</f>
        <v>2500</v>
      </c>
      <c r="L10" s="431" t="str">
        <f>'Piping &amp; Valves تجمعی'!L71</f>
        <v>(مطابق شرح خدمات پیوست ۱۰)</v>
      </c>
      <c r="M10" s="390"/>
    </row>
    <row r="11" spans="1:13" ht="69.95" customHeight="1" thickBot="1">
      <c r="A11" s="75"/>
      <c r="B11" s="395" t="s">
        <v>75</v>
      </c>
      <c r="C11" s="396"/>
      <c r="D11" s="397"/>
      <c r="E11" s="397"/>
      <c r="F11" s="397"/>
      <c r="G11" s="56"/>
      <c r="H11" s="57"/>
      <c r="I11" s="58"/>
      <c r="J11" s="56">
        <f>SUM(J9:J10)</f>
        <v>0</v>
      </c>
      <c r="K11" s="59">
        <f>SUM(K9:K10)</f>
        <v>152500</v>
      </c>
    </row>
    <row r="12" spans="1:13" ht="24.75" thickTop="1"/>
  </sheetData>
  <mergeCells count="13">
    <mergeCell ref="B1:B2"/>
    <mergeCell ref="D1:D2"/>
    <mergeCell ref="E1:I1"/>
    <mergeCell ref="J1:J2"/>
    <mergeCell ref="K1:K2"/>
    <mergeCell ref="E2:I2"/>
    <mergeCell ref="L9:M9"/>
    <mergeCell ref="L10:M10"/>
    <mergeCell ref="B11:F11"/>
    <mergeCell ref="B3:D3"/>
    <mergeCell ref="B5:K5"/>
    <mergeCell ref="A7:M7"/>
    <mergeCell ref="L8:M8"/>
  </mergeCells>
  <hyperlinks>
    <hyperlink ref="B3" location="Dashboard!A1" display="◀ بازگشت به داشبورد" xr:uid="{2A1A74F6-B425-461B-BE10-67A8ED529E54}"/>
  </hyperlinks>
  <pageMargins left="0.75" right="0.75" top="1" bottom="1" header="0.5" footer="0.5"/>
  <pageSetup paperSize="9" fitToHeight="0"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63D3-07D3-4833-8517-F72761DD0ED3}">
  <sheetPr>
    <pageSetUpPr fitToPage="1"/>
  </sheetPr>
  <dimension ref="A1:F11"/>
  <sheetViews>
    <sheetView rightToLeft="1" view="pageBreakPreview" zoomScale="25" zoomScaleNormal="85" zoomScaleSheetLayoutView="25" workbookViewId="0">
      <selection activeCell="P8" sqref="P8"/>
    </sheetView>
  </sheetViews>
  <sheetFormatPr defaultRowHeight="15"/>
  <cols>
    <col min="1" max="1" width="19.57031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83"/>
      <c r="C1" s="283"/>
      <c r="D1" s="283"/>
      <c r="E1" s="283"/>
      <c r="F1" s="284"/>
    </row>
    <row r="2" spans="1:6" ht="45" customHeight="1">
      <c r="A2" s="285"/>
      <c r="B2" s="286"/>
      <c r="C2" s="286"/>
      <c r="D2" s="286"/>
      <c r="E2" s="286"/>
      <c r="F2" s="287"/>
    </row>
    <row r="3" spans="1:6" ht="37.5" customHeight="1" thickBot="1">
      <c r="A3" s="285"/>
      <c r="B3" s="286"/>
      <c r="C3" s="286"/>
      <c r="D3" s="286"/>
      <c r="E3" s="286"/>
      <c r="F3" s="287"/>
    </row>
    <row r="4" spans="1:6" ht="307.5" customHeight="1">
      <c r="A4" s="285"/>
      <c r="B4" s="364" t="s">
        <v>758</v>
      </c>
      <c r="C4" s="365"/>
      <c r="D4" s="365"/>
      <c r="E4" s="366"/>
      <c r="F4" s="287"/>
    </row>
    <row r="5" spans="1:6" ht="409.6" customHeight="1">
      <c r="A5" s="285"/>
      <c r="B5" s="367"/>
      <c r="C5" s="368"/>
      <c r="D5" s="368"/>
      <c r="E5" s="369"/>
      <c r="F5" s="287"/>
    </row>
    <row r="6" spans="1:6" ht="165.75" customHeight="1">
      <c r="A6" s="285"/>
      <c r="B6" s="367"/>
      <c r="C6" s="368"/>
      <c r="D6" s="368"/>
      <c r="E6" s="369"/>
      <c r="F6" s="287"/>
    </row>
    <row r="7" spans="1:6" ht="321.75" customHeight="1">
      <c r="A7" s="285"/>
      <c r="B7" s="367"/>
      <c r="C7" s="368"/>
      <c r="D7" s="368"/>
      <c r="E7" s="369"/>
      <c r="F7" s="287"/>
    </row>
    <row r="8" spans="1:6" ht="370.5" customHeight="1">
      <c r="A8" s="285"/>
      <c r="B8" s="367"/>
      <c r="C8" s="368"/>
      <c r="D8" s="368"/>
      <c r="E8" s="369"/>
      <c r="F8" s="287"/>
    </row>
    <row r="9" spans="1:6" ht="204.75" customHeight="1">
      <c r="A9" s="285"/>
      <c r="B9" s="367"/>
      <c r="C9" s="368"/>
      <c r="D9" s="368"/>
      <c r="E9" s="369"/>
      <c r="F9" s="287"/>
    </row>
    <row r="10" spans="1:6" ht="189.75" customHeight="1" thickBot="1">
      <c r="A10" s="285"/>
      <c r="B10" s="370"/>
      <c r="C10" s="371"/>
      <c r="D10" s="371"/>
      <c r="E10" s="372"/>
      <c r="F10" s="287"/>
    </row>
    <row r="11" spans="1:6" ht="135.75" customHeight="1" thickBot="1">
      <c r="A11" s="288"/>
      <c r="B11" s="289"/>
      <c r="C11" s="289"/>
      <c r="D11" s="289"/>
      <c r="E11" s="289"/>
      <c r="F11" s="290"/>
    </row>
  </sheetData>
  <mergeCells count="1">
    <mergeCell ref="B4:E10"/>
  </mergeCells>
  <printOptions horizontalCentered="1" verticalCentered="1"/>
  <pageMargins left="0.1" right="0.1" top="0.1" bottom="0.1" header="0.1" footer="0.1"/>
  <pageSetup paperSize="8" scale="36"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pageSetUpPr fitToPage="1"/>
  </sheetPr>
  <dimension ref="A1:L62"/>
  <sheetViews>
    <sheetView showGridLines="0" view="pageBreakPreview" zoomScale="60" zoomScaleNormal="70" workbookViewId="0">
      <selection activeCell="D24" sqref="D24"/>
    </sheetView>
  </sheetViews>
  <sheetFormatPr defaultRowHeight="24"/>
  <cols>
    <col min="1" max="1" width="40.7109375" style="76" customWidth="1"/>
    <col min="2" max="2" width="8" customWidth="1"/>
    <col min="3" max="3" width="17.28515625" customWidth="1"/>
    <col min="4" max="4" width="65" customWidth="1"/>
    <col min="5" max="5" width="12" customWidth="1"/>
    <col min="6" max="6" width="10" customWidth="1"/>
    <col min="7" max="7" width="12" style="2" customWidth="1"/>
    <col min="8" max="9" width="20" style="2" customWidth="1"/>
    <col min="10" max="10" width="22" style="2" customWidth="1"/>
    <col min="11" max="11" width="28.7109375" style="2" customWidth="1"/>
    <col min="12" max="12" width="58.42578125" style="4" customWidth="1"/>
  </cols>
  <sheetData>
    <row r="1" spans="1:12" ht="27.95" customHeight="1">
      <c r="A1" s="137"/>
      <c r="B1" s="398"/>
      <c r="C1" s="38"/>
      <c r="D1" s="478" t="s">
        <v>0</v>
      </c>
      <c r="E1" s="478"/>
      <c r="F1" s="478"/>
      <c r="G1" s="478"/>
      <c r="H1" s="478"/>
      <c r="I1" s="478"/>
      <c r="J1" s="478"/>
      <c r="K1" s="413"/>
      <c r="L1" s="139"/>
    </row>
    <row r="2" spans="1:12" ht="27.95" customHeight="1" thickBot="1">
      <c r="A2" s="140"/>
      <c r="B2" s="399"/>
      <c r="C2" s="163"/>
      <c r="D2" s="116"/>
      <c r="E2" s="327" t="s">
        <v>113</v>
      </c>
      <c r="F2" s="328"/>
      <c r="G2" s="328"/>
      <c r="H2" s="328"/>
      <c r="I2" s="329"/>
      <c r="J2" s="116"/>
      <c r="K2" s="414"/>
      <c r="L2" s="67"/>
    </row>
    <row r="3" spans="1:12" ht="21.95" customHeight="1" thickBot="1">
      <c r="A3" s="140"/>
      <c r="B3" s="381" t="s">
        <v>33</v>
      </c>
      <c r="C3" s="382"/>
      <c r="D3" s="383"/>
      <c r="E3" s="160"/>
      <c r="F3" s="160"/>
      <c r="G3" s="161"/>
      <c r="H3" s="161"/>
      <c r="I3" s="161"/>
      <c r="J3" s="161"/>
      <c r="K3" s="40"/>
      <c r="L3" s="67"/>
    </row>
    <row r="4" spans="1:12" ht="15" customHeight="1" thickBot="1">
      <c r="A4" s="140"/>
      <c r="B4" s="41"/>
      <c r="C4" s="1"/>
      <c r="D4" s="1"/>
      <c r="E4" s="1"/>
      <c r="F4" s="1"/>
      <c r="G4" s="3"/>
      <c r="H4" s="3"/>
      <c r="I4" s="3"/>
      <c r="J4" s="3"/>
      <c r="K4" s="40"/>
      <c r="L4" s="67"/>
    </row>
    <row r="5" spans="1:12" ht="26.1" customHeight="1">
      <c r="A5" s="140"/>
      <c r="B5" s="472" t="s">
        <v>114</v>
      </c>
      <c r="C5" s="473"/>
      <c r="D5" s="474"/>
      <c r="E5" s="474"/>
      <c r="F5" s="474"/>
      <c r="G5" s="474"/>
      <c r="H5" s="474"/>
      <c r="I5" s="474"/>
      <c r="J5" s="474"/>
      <c r="K5" s="475"/>
      <c r="L5" s="67"/>
    </row>
    <row r="6" spans="1:12" ht="18" customHeight="1" thickBot="1">
      <c r="A6" s="141"/>
      <c r="B6" s="171"/>
      <c r="C6" s="158"/>
      <c r="D6" s="158"/>
      <c r="E6" s="158"/>
      <c r="F6" s="158"/>
      <c r="G6" s="172"/>
      <c r="H6" s="172"/>
      <c r="I6" s="172"/>
      <c r="J6" s="172"/>
      <c r="K6" s="173"/>
      <c r="L6" s="143"/>
    </row>
    <row r="7" spans="1:12" ht="27.95" customHeight="1">
      <c r="A7" s="174" t="s">
        <v>506</v>
      </c>
      <c r="B7" s="170" t="s">
        <v>35</v>
      </c>
      <c r="C7" s="114" t="s">
        <v>393</v>
      </c>
      <c r="D7" s="114" t="s">
        <v>523</v>
      </c>
      <c r="E7" s="114" t="s">
        <v>37</v>
      </c>
      <c r="F7" s="114" t="s">
        <v>38</v>
      </c>
      <c r="G7" s="114" t="s">
        <v>39</v>
      </c>
      <c r="H7" s="114" t="s">
        <v>40</v>
      </c>
      <c r="I7" s="114" t="s">
        <v>41</v>
      </c>
      <c r="J7" s="114" t="s">
        <v>42</v>
      </c>
      <c r="K7" s="115" t="s">
        <v>43</v>
      </c>
      <c r="L7" s="175" t="s">
        <v>480</v>
      </c>
    </row>
    <row r="8" spans="1:12" ht="90" customHeight="1">
      <c r="A8" s="176" t="s">
        <v>507</v>
      </c>
      <c r="B8" s="45">
        <v>1</v>
      </c>
      <c r="C8" s="165" t="s">
        <v>416</v>
      </c>
      <c r="D8" s="10" t="s">
        <v>115</v>
      </c>
      <c r="E8" s="122" t="s">
        <v>116</v>
      </c>
      <c r="F8" s="122" t="s">
        <v>117</v>
      </c>
      <c r="G8" s="123">
        <v>3</v>
      </c>
      <c r="H8" s="124">
        <v>0</v>
      </c>
      <c r="I8" s="125">
        <v>10000</v>
      </c>
      <c r="J8" s="124">
        <f t="shared" ref="J8:J16" si="0">G8*H8</f>
        <v>0</v>
      </c>
      <c r="K8" s="126">
        <f t="shared" ref="K8:K16" si="1">G8*I8</f>
        <v>30000</v>
      </c>
      <c r="L8" s="177" t="s">
        <v>424</v>
      </c>
    </row>
    <row r="9" spans="1:12" ht="90" customHeight="1">
      <c r="A9" s="176" t="s">
        <v>507</v>
      </c>
      <c r="B9" s="47">
        <v>2</v>
      </c>
      <c r="C9" s="165" t="s">
        <v>417</v>
      </c>
      <c r="D9" s="15" t="s">
        <v>118</v>
      </c>
      <c r="E9" s="144" t="s">
        <v>116</v>
      </c>
      <c r="F9" s="144" t="s">
        <v>117</v>
      </c>
      <c r="G9" s="145">
        <v>2</v>
      </c>
      <c r="H9" s="146">
        <v>0</v>
      </c>
      <c r="I9" s="147">
        <v>108260</v>
      </c>
      <c r="J9" s="146">
        <f t="shared" si="0"/>
        <v>0</v>
      </c>
      <c r="K9" s="148">
        <f t="shared" si="1"/>
        <v>216520</v>
      </c>
      <c r="L9" s="177" t="s">
        <v>425</v>
      </c>
    </row>
    <row r="10" spans="1:12" ht="90" customHeight="1">
      <c r="A10" s="176" t="s">
        <v>507</v>
      </c>
      <c r="B10" s="45">
        <v>3</v>
      </c>
      <c r="C10" s="24" t="s">
        <v>418</v>
      </c>
      <c r="D10" s="10" t="s">
        <v>119</v>
      </c>
      <c r="E10" s="122" t="s">
        <v>120</v>
      </c>
      <c r="F10" s="122" t="s">
        <v>117</v>
      </c>
      <c r="G10" s="123">
        <v>1</v>
      </c>
      <c r="H10" s="124">
        <v>0</v>
      </c>
      <c r="I10" s="125">
        <v>13900</v>
      </c>
      <c r="J10" s="124">
        <f t="shared" si="0"/>
        <v>0</v>
      </c>
      <c r="K10" s="126">
        <f t="shared" si="1"/>
        <v>13900</v>
      </c>
      <c r="L10" s="178" t="s">
        <v>426</v>
      </c>
    </row>
    <row r="11" spans="1:12" ht="90" customHeight="1">
      <c r="A11" s="176" t="s">
        <v>507</v>
      </c>
      <c r="B11" s="47">
        <v>4</v>
      </c>
      <c r="C11" s="165" t="s">
        <v>419</v>
      </c>
      <c r="D11" s="15" t="s">
        <v>121</v>
      </c>
      <c r="E11" s="144" t="s">
        <v>116</v>
      </c>
      <c r="F11" s="144" t="s">
        <v>117</v>
      </c>
      <c r="G11" s="145">
        <v>1</v>
      </c>
      <c r="H11" s="146">
        <v>0</v>
      </c>
      <c r="I11" s="147">
        <v>85000</v>
      </c>
      <c r="J11" s="146">
        <f t="shared" si="0"/>
        <v>0</v>
      </c>
      <c r="K11" s="148">
        <f t="shared" si="1"/>
        <v>85000</v>
      </c>
      <c r="L11" s="177" t="s">
        <v>427</v>
      </c>
    </row>
    <row r="12" spans="1:12" ht="90" customHeight="1">
      <c r="A12" s="176" t="s">
        <v>507</v>
      </c>
      <c r="B12" s="45">
        <v>5</v>
      </c>
      <c r="C12" s="25" t="s">
        <v>420</v>
      </c>
      <c r="D12" s="10" t="s">
        <v>122</v>
      </c>
      <c r="E12" s="122" t="s">
        <v>123</v>
      </c>
      <c r="F12" s="122" t="s">
        <v>117</v>
      </c>
      <c r="G12" s="123">
        <v>3</v>
      </c>
      <c r="H12" s="124">
        <v>0</v>
      </c>
      <c r="I12" s="125">
        <v>25000</v>
      </c>
      <c r="J12" s="124">
        <f t="shared" si="0"/>
        <v>0</v>
      </c>
      <c r="K12" s="126">
        <f t="shared" si="1"/>
        <v>75000</v>
      </c>
      <c r="L12" s="177" t="s">
        <v>428</v>
      </c>
    </row>
    <row r="13" spans="1:12" ht="90" customHeight="1">
      <c r="A13" s="176" t="s">
        <v>507</v>
      </c>
      <c r="B13" s="47">
        <v>6</v>
      </c>
      <c r="C13" s="25" t="s">
        <v>421</v>
      </c>
      <c r="D13" s="15" t="s">
        <v>124</v>
      </c>
      <c r="E13" s="144" t="s">
        <v>125</v>
      </c>
      <c r="F13" s="144" t="s">
        <v>117</v>
      </c>
      <c r="G13" s="145">
        <v>1</v>
      </c>
      <c r="H13" s="146">
        <v>0</v>
      </c>
      <c r="I13" s="147">
        <v>25000</v>
      </c>
      <c r="J13" s="146">
        <f t="shared" si="0"/>
        <v>0</v>
      </c>
      <c r="K13" s="148">
        <f t="shared" si="1"/>
        <v>25000</v>
      </c>
      <c r="L13" s="177" t="s">
        <v>429</v>
      </c>
    </row>
    <row r="14" spans="1:12" ht="90" customHeight="1">
      <c r="A14" s="176" t="s">
        <v>507</v>
      </c>
      <c r="B14" s="45">
        <v>7</v>
      </c>
      <c r="C14" s="25" t="s">
        <v>422</v>
      </c>
      <c r="D14" s="10" t="s">
        <v>126</v>
      </c>
      <c r="E14" s="122" t="s">
        <v>127</v>
      </c>
      <c r="F14" s="122" t="s">
        <v>117</v>
      </c>
      <c r="G14" s="123">
        <v>1</v>
      </c>
      <c r="H14" s="124">
        <v>0</v>
      </c>
      <c r="I14" s="125">
        <v>25000</v>
      </c>
      <c r="J14" s="124">
        <f t="shared" si="0"/>
        <v>0</v>
      </c>
      <c r="K14" s="126">
        <f t="shared" si="1"/>
        <v>25000</v>
      </c>
      <c r="L14" s="177" t="s">
        <v>430</v>
      </c>
    </row>
    <row r="15" spans="1:12" ht="90" customHeight="1">
      <c r="A15" s="176" t="s">
        <v>507</v>
      </c>
      <c r="B15" s="47">
        <v>8</v>
      </c>
      <c r="C15" s="25" t="s">
        <v>423</v>
      </c>
      <c r="D15" s="15" t="s">
        <v>128</v>
      </c>
      <c r="E15" s="144" t="s">
        <v>129</v>
      </c>
      <c r="F15" s="144" t="s">
        <v>117</v>
      </c>
      <c r="G15" s="145">
        <v>2</v>
      </c>
      <c r="H15" s="146">
        <v>0</v>
      </c>
      <c r="I15" s="147">
        <v>27100</v>
      </c>
      <c r="J15" s="146">
        <f t="shared" si="0"/>
        <v>0</v>
      </c>
      <c r="K15" s="148">
        <f t="shared" si="1"/>
        <v>54200</v>
      </c>
      <c r="L15" s="177" t="s">
        <v>431</v>
      </c>
    </row>
    <row r="16" spans="1:12" ht="90" customHeight="1">
      <c r="A16" s="176" t="s">
        <v>507</v>
      </c>
      <c r="B16" s="45">
        <v>9</v>
      </c>
      <c r="C16" s="9" t="s">
        <v>432</v>
      </c>
      <c r="D16" s="10" t="s">
        <v>130</v>
      </c>
      <c r="E16" s="122" t="s">
        <v>73</v>
      </c>
      <c r="F16" s="122" t="s">
        <v>131</v>
      </c>
      <c r="G16" s="123">
        <v>1</v>
      </c>
      <c r="H16" s="124">
        <v>0</v>
      </c>
      <c r="I16" s="125">
        <v>3192.6</v>
      </c>
      <c r="J16" s="124">
        <f t="shared" si="0"/>
        <v>0</v>
      </c>
      <c r="K16" s="126">
        <f t="shared" si="1"/>
        <v>3192.6</v>
      </c>
      <c r="L16" s="179" t="s">
        <v>503</v>
      </c>
    </row>
    <row r="17" spans="1:12" ht="26.1" customHeight="1" thickBot="1">
      <c r="A17" s="244"/>
      <c r="B17" s="395" t="s">
        <v>75</v>
      </c>
      <c r="C17" s="396"/>
      <c r="D17" s="397"/>
      <c r="E17" s="397"/>
      <c r="F17" s="397"/>
      <c r="G17" s="56">
        <f>SUM(G8:G16)</f>
        <v>15</v>
      </c>
      <c r="H17" s="57"/>
      <c r="I17" s="58"/>
      <c r="J17" s="56">
        <f>SUM(J8:J16)</f>
        <v>0</v>
      </c>
      <c r="K17" s="59">
        <f>SUM(K8:K16)</f>
        <v>527812.6</v>
      </c>
      <c r="L17" s="245"/>
    </row>
    <row r="18" spans="1:12" ht="24.75" thickBot="1">
      <c r="A18" s="140"/>
      <c r="B18" s="160"/>
      <c r="C18" s="160"/>
      <c r="D18" s="160"/>
      <c r="E18" s="160"/>
      <c r="F18" s="160"/>
      <c r="G18" s="161"/>
      <c r="H18" s="161"/>
      <c r="I18" s="161"/>
      <c r="J18" s="161"/>
      <c r="K18" s="161"/>
      <c r="L18" s="67"/>
    </row>
    <row r="19" spans="1:12" ht="24.75" hidden="1" thickBot="1">
      <c r="A19" s="140"/>
      <c r="B19" s="42"/>
      <c r="C19" s="160"/>
      <c r="D19" s="160"/>
      <c r="E19" s="160"/>
      <c r="F19" s="160"/>
      <c r="G19" s="161"/>
      <c r="H19" s="161"/>
      <c r="I19" s="161"/>
      <c r="J19" s="161"/>
      <c r="K19" s="159"/>
      <c r="L19" s="67"/>
    </row>
    <row r="20" spans="1:12" ht="24.75" hidden="1" thickBot="1">
      <c r="A20" s="140"/>
      <c r="B20" s="42"/>
      <c r="C20" s="160"/>
      <c r="D20" s="160"/>
      <c r="E20" s="160"/>
      <c r="F20" s="160"/>
      <c r="G20" s="161"/>
      <c r="H20" s="161"/>
      <c r="I20" s="161"/>
      <c r="J20" s="161"/>
      <c r="K20" s="159"/>
      <c r="L20" s="67"/>
    </row>
    <row r="21" spans="1:12" ht="83.25" customHeight="1">
      <c r="A21" s="137"/>
      <c r="B21" s="472" t="s">
        <v>132</v>
      </c>
      <c r="C21" s="473"/>
      <c r="D21" s="474"/>
      <c r="E21" s="474"/>
      <c r="F21" s="474"/>
      <c r="G21" s="474"/>
      <c r="H21" s="474"/>
      <c r="I21" s="474"/>
      <c r="J21" s="474"/>
      <c r="K21" s="475"/>
      <c r="L21" s="139"/>
    </row>
    <row r="22" spans="1:12" ht="9" customHeight="1">
      <c r="A22" s="140"/>
      <c r="B22" s="42"/>
      <c r="C22" s="160"/>
      <c r="D22" s="160"/>
      <c r="E22" s="160"/>
      <c r="F22" s="160"/>
      <c r="G22" s="161"/>
      <c r="H22" s="161"/>
      <c r="I22" s="161"/>
      <c r="J22" s="161"/>
      <c r="K22" s="159"/>
      <c r="L22" s="67"/>
    </row>
    <row r="23" spans="1:12" ht="27.95" customHeight="1">
      <c r="A23" s="180" t="s">
        <v>506</v>
      </c>
      <c r="B23" s="43" t="s">
        <v>35</v>
      </c>
      <c r="C23" s="149" t="s">
        <v>393</v>
      </c>
      <c r="D23" s="149" t="s">
        <v>523</v>
      </c>
      <c r="E23" s="149" t="s">
        <v>37</v>
      </c>
      <c r="F23" s="149" t="s">
        <v>38</v>
      </c>
      <c r="G23" s="149" t="s">
        <v>39</v>
      </c>
      <c r="H23" s="149" t="s">
        <v>40</v>
      </c>
      <c r="I23" s="149" t="s">
        <v>41</v>
      </c>
      <c r="J23" s="149" t="s">
        <v>42</v>
      </c>
      <c r="K23" s="150" t="s">
        <v>43</v>
      </c>
      <c r="L23" s="181" t="s">
        <v>480</v>
      </c>
    </row>
    <row r="24" spans="1:12" ht="54.95" customHeight="1">
      <c r="A24" s="182" t="s">
        <v>508</v>
      </c>
      <c r="B24" s="45">
        <v>1</v>
      </c>
      <c r="C24" s="165" t="s">
        <v>525</v>
      </c>
      <c r="D24" s="10" t="s">
        <v>133</v>
      </c>
      <c r="E24" s="122" t="s">
        <v>116</v>
      </c>
      <c r="F24" s="122" t="s">
        <v>117</v>
      </c>
      <c r="G24" s="123">
        <v>1</v>
      </c>
      <c r="H24" s="124">
        <v>0</v>
      </c>
      <c r="I24" s="125">
        <v>400000</v>
      </c>
      <c r="J24" s="124">
        <f t="shared" ref="J24:J41" si="2">G24*H24</f>
        <v>0</v>
      </c>
      <c r="K24" s="126">
        <f t="shared" ref="K24:K41" si="3">G24*I24</f>
        <v>400000</v>
      </c>
      <c r="L24" s="183" t="s">
        <v>510</v>
      </c>
    </row>
    <row r="25" spans="1:12" ht="54.95" customHeight="1">
      <c r="A25" s="182" t="s">
        <v>508</v>
      </c>
      <c r="B25" s="47">
        <v>2</v>
      </c>
      <c r="C25" s="165" t="s">
        <v>526</v>
      </c>
      <c r="D25" s="15" t="s">
        <v>134</v>
      </c>
      <c r="E25" s="144" t="s">
        <v>116</v>
      </c>
      <c r="F25" s="144" t="s">
        <v>117</v>
      </c>
      <c r="G25" s="145">
        <v>3</v>
      </c>
      <c r="H25" s="146">
        <v>0</v>
      </c>
      <c r="I25" s="147">
        <v>10000</v>
      </c>
      <c r="J25" s="146">
        <f t="shared" si="2"/>
        <v>0</v>
      </c>
      <c r="K25" s="148">
        <f t="shared" si="3"/>
        <v>30000</v>
      </c>
      <c r="L25" s="183" t="s">
        <v>511</v>
      </c>
    </row>
    <row r="26" spans="1:12" ht="54.95" customHeight="1">
      <c r="A26" s="182" t="s">
        <v>508</v>
      </c>
      <c r="B26" s="45">
        <v>3</v>
      </c>
      <c r="C26" s="165" t="s">
        <v>527</v>
      </c>
      <c r="D26" s="10" t="s">
        <v>135</v>
      </c>
      <c r="E26" s="122" t="s">
        <v>116</v>
      </c>
      <c r="F26" s="122" t="s">
        <v>117</v>
      </c>
      <c r="G26" s="123">
        <v>3</v>
      </c>
      <c r="H26" s="124">
        <v>0</v>
      </c>
      <c r="I26" s="125">
        <v>116000</v>
      </c>
      <c r="J26" s="124">
        <f t="shared" si="2"/>
        <v>0</v>
      </c>
      <c r="K26" s="126">
        <f t="shared" si="3"/>
        <v>348000</v>
      </c>
      <c r="L26" s="183" t="s">
        <v>512</v>
      </c>
    </row>
    <row r="27" spans="1:12" ht="54.95" customHeight="1">
      <c r="A27" s="182" t="s">
        <v>508</v>
      </c>
      <c r="B27" s="47">
        <v>4</v>
      </c>
      <c r="C27" s="165" t="s">
        <v>528</v>
      </c>
      <c r="D27" s="15" t="s">
        <v>136</v>
      </c>
      <c r="E27" s="144" t="s">
        <v>116</v>
      </c>
      <c r="F27" s="144" t="s">
        <v>117</v>
      </c>
      <c r="G27" s="145">
        <v>2</v>
      </c>
      <c r="H27" s="146">
        <v>0</v>
      </c>
      <c r="I27" s="147">
        <v>20000</v>
      </c>
      <c r="J27" s="146">
        <f t="shared" si="2"/>
        <v>0</v>
      </c>
      <c r="K27" s="148">
        <f t="shared" si="3"/>
        <v>40000</v>
      </c>
      <c r="L27" s="183" t="s">
        <v>513</v>
      </c>
    </row>
    <row r="28" spans="1:12" ht="54.95" customHeight="1">
      <c r="A28" s="182" t="s">
        <v>508</v>
      </c>
      <c r="B28" s="45">
        <v>5</v>
      </c>
      <c r="C28" s="165" t="s">
        <v>529</v>
      </c>
      <c r="D28" s="10" t="s">
        <v>137</v>
      </c>
      <c r="E28" s="122" t="s">
        <v>116</v>
      </c>
      <c r="F28" s="122" t="s">
        <v>117</v>
      </c>
      <c r="G28" s="123">
        <v>1</v>
      </c>
      <c r="H28" s="124">
        <v>0</v>
      </c>
      <c r="I28" s="125">
        <v>30000</v>
      </c>
      <c r="J28" s="124">
        <f t="shared" si="2"/>
        <v>0</v>
      </c>
      <c r="K28" s="126">
        <f t="shared" si="3"/>
        <v>30000</v>
      </c>
      <c r="L28" s="183" t="s">
        <v>514</v>
      </c>
    </row>
    <row r="29" spans="1:12" ht="54.95" customHeight="1">
      <c r="A29" s="182" t="s">
        <v>508</v>
      </c>
      <c r="B29" s="47">
        <v>6</v>
      </c>
      <c r="C29" s="165" t="s">
        <v>530</v>
      </c>
      <c r="D29" s="15" t="s">
        <v>138</v>
      </c>
      <c r="E29" s="144" t="s">
        <v>116</v>
      </c>
      <c r="F29" s="144" t="s">
        <v>117</v>
      </c>
      <c r="G29" s="145">
        <v>1</v>
      </c>
      <c r="H29" s="146">
        <v>0</v>
      </c>
      <c r="I29" s="147">
        <v>3000</v>
      </c>
      <c r="J29" s="146">
        <f t="shared" si="2"/>
        <v>0</v>
      </c>
      <c r="K29" s="148">
        <f t="shared" si="3"/>
        <v>3000</v>
      </c>
      <c r="L29" s="183" t="s">
        <v>515</v>
      </c>
    </row>
    <row r="30" spans="1:12" ht="54.95" customHeight="1">
      <c r="A30" s="182" t="s">
        <v>508</v>
      </c>
      <c r="B30" s="45">
        <v>7</v>
      </c>
      <c r="C30" s="165" t="s">
        <v>531</v>
      </c>
      <c r="D30" s="10" t="s">
        <v>139</v>
      </c>
      <c r="E30" s="122" t="s">
        <v>116</v>
      </c>
      <c r="F30" s="122" t="s">
        <v>117</v>
      </c>
      <c r="G30" s="123">
        <v>1</v>
      </c>
      <c r="H30" s="124">
        <v>0</v>
      </c>
      <c r="I30" s="125">
        <v>22000</v>
      </c>
      <c r="J30" s="124">
        <f t="shared" si="2"/>
        <v>0</v>
      </c>
      <c r="K30" s="126">
        <f t="shared" si="3"/>
        <v>22000</v>
      </c>
      <c r="L30" s="183" t="s">
        <v>516</v>
      </c>
    </row>
    <row r="31" spans="1:12" ht="54.95" customHeight="1">
      <c r="A31" s="182" t="s">
        <v>508</v>
      </c>
      <c r="B31" s="47">
        <v>8</v>
      </c>
      <c r="C31" s="165" t="s">
        <v>532</v>
      </c>
      <c r="D31" s="15" t="s">
        <v>140</v>
      </c>
      <c r="E31" s="144" t="s">
        <v>116</v>
      </c>
      <c r="F31" s="144" t="s">
        <v>117</v>
      </c>
      <c r="G31" s="145">
        <v>1</v>
      </c>
      <c r="H31" s="146">
        <v>0</v>
      </c>
      <c r="I31" s="147">
        <v>85000</v>
      </c>
      <c r="J31" s="146">
        <f t="shared" si="2"/>
        <v>0</v>
      </c>
      <c r="K31" s="148">
        <f t="shared" si="3"/>
        <v>85000</v>
      </c>
      <c r="L31" s="183" t="s">
        <v>427</v>
      </c>
    </row>
    <row r="32" spans="1:12" ht="54.95" customHeight="1">
      <c r="A32" s="182" t="s">
        <v>508</v>
      </c>
      <c r="B32" s="45">
        <v>9</v>
      </c>
      <c r="C32" s="25" t="s">
        <v>533</v>
      </c>
      <c r="D32" s="10" t="s">
        <v>141</v>
      </c>
      <c r="E32" s="122" t="s">
        <v>123</v>
      </c>
      <c r="F32" s="122" t="s">
        <v>117</v>
      </c>
      <c r="G32" s="123">
        <v>1</v>
      </c>
      <c r="H32" s="124">
        <v>0</v>
      </c>
      <c r="I32" s="125">
        <v>25000</v>
      </c>
      <c r="J32" s="124">
        <f t="shared" si="2"/>
        <v>0</v>
      </c>
      <c r="K32" s="126">
        <f t="shared" si="3"/>
        <v>25000</v>
      </c>
      <c r="L32" s="183" t="s">
        <v>428</v>
      </c>
    </row>
    <row r="33" spans="1:12" ht="54.95" customHeight="1">
      <c r="A33" s="182" t="s">
        <v>508</v>
      </c>
      <c r="B33" s="47">
        <v>10</v>
      </c>
      <c r="C33" s="25" t="s">
        <v>422</v>
      </c>
      <c r="D33" s="15" t="s">
        <v>126</v>
      </c>
      <c r="E33" s="144" t="s">
        <v>127</v>
      </c>
      <c r="F33" s="144" t="s">
        <v>117</v>
      </c>
      <c r="G33" s="145">
        <v>3</v>
      </c>
      <c r="H33" s="146">
        <v>0</v>
      </c>
      <c r="I33" s="147">
        <v>25000</v>
      </c>
      <c r="J33" s="146">
        <f t="shared" si="2"/>
        <v>0</v>
      </c>
      <c r="K33" s="148">
        <f t="shared" si="3"/>
        <v>75000</v>
      </c>
      <c r="L33" s="183" t="s">
        <v>430</v>
      </c>
    </row>
    <row r="34" spans="1:12" ht="54.95" customHeight="1">
      <c r="A34" s="182" t="s">
        <v>508</v>
      </c>
      <c r="B34" s="45">
        <v>11</v>
      </c>
      <c r="C34" s="25" t="s">
        <v>534</v>
      </c>
      <c r="D34" s="10" t="s">
        <v>142</v>
      </c>
      <c r="E34" s="122" t="s">
        <v>143</v>
      </c>
      <c r="F34" s="122" t="s">
        <v>117</v>
      </c>
      <c r="G34" s="123">
        <v>1</v>
      </c>
      <c r="H34" s="124">
        <v>19000000000</v>
      </c>
      <c r="I34" s="125">
        <v>0</v>
      </c>
      <c r="J34" s="124">
        <f t="shared" si="2"/>
        <v>19000000000</v>
      </c>
      <c r="K34" s="126">
        <f t="shared" si="3"/>
        <v>0</v>
      </c>
      <c r="L34" s="183" t="s">
        <v>517</v>
      </c>
    </row>
    <row r="35" spans="1:12" ht="54.95" customHeight="1">
      <c r="A35" s="182" t="s">
        <v>508</v>
      </c>
      <c r="B35" s="47">
        <v>12</v>
      </c>
      <c r="C35" s="25" t="s">
        <v>535</v>
      </c>
      <c r="D35" s="15" t="s">
        <v>144</v>
      </c>
      <c r="E35" s="144" t="s">
        <v>143</v>
      </c>
      <c r="F35" s="144" t="s">
        <v>117</v>
      </c>
      <c r="G35" s="145">
        <v>1</v>
      </c>
      <c r="H35" s="146">
        <v>18980000000</v>
      </c>
      <c r="I35" s="147">
        <v>0</v>
      </c>
      <c r="J35" s="146">
        <f t="shared" si="2"/>
        <v>18980000000</v>
      </c>
      <c r="K35" s="148">
        <f t="shared" si="3"/>
        <v>0</v>
      </c>
      <c r="L35" s="183" t="s">
        <v>517</v>
      </c>
    </row>
    <row r="36" spans="1:12" ht="54.95" customHeight="1">
      <c r="A36" s="182" t="s">
        <v>508</v>
      </c>
      <c r="B36" s="45">
        <v>13</v>
      </c>
      <c r="C36" s="25" t="s">
        <v>536</v>
      </c>
      <c r="D36" s="10" t="s">
        <v>145</v>
      </c>
      <c r="E36" s="122" t="s">
        <v>146</v>
      </c>
      <c r="F36" s="122" t="s">
        <v>117</v>
      </c>
      <c r="G36" s="123">
        <v>1</v>
      </c>
      <c r="H36" s="124">
        <v>22600000000</v>
      </c>
      <c r="I36" s="125">
        <v>0</v>
      </c>
      <c r="J36" s="124">
        <f t="shared" si="2"/>
        <v>22600000000</v>
      </c>
      <c r="K36" s="126">
        <f t="shared" si="3"/>
        <v>0</v>
      </c>
      <c r="L36" s="183" t="s">
        <v>518</v>
      </c>
    </row>
    <row r="37" spans="1:12" ht="54.95" customHeight="1">
      <c r="A37" s="182" t="s">
        <v>508</v>
      </c>
      <c r="B37" s="47">
        <v>14</v>
      </c>
      <c r="C37" s="24" t="s">
        <v>537</v>
      </c>
      <c r="D37" s="15" t="s">
        <v>147</v>
      </c>
      <c r="E37" s="144" t="s">
        <v>120</v>
      </c>
      <c r="F37" s="144" t="s">
        <v>117</v>
      </c>
      <c r="G37" s="145">
        <v>1</v>
      </c>
      <c r="H37" s="146">
        <v>0</v>
      </c>
      <c r="I37" s="147">
        <v>13900</v>
      </c>
      <c r="J37" s="146">
        <f t="shared" si="2"/>
        <v>0</v>
      </c>
      <c r="K37" s="148">
        <f t="shared" si="3"/>
        <v>13900</v>
      </c>
      <c r="L37" s="184" t="s">
        <v>519</v>
      </c>
    </row>
    <row r="38" spans="1:12" ht="54.95" customHeight="1">
      <c r="A38" s="182" t="s">
        <v>508</v>
      </c>
      <c r="B38" s="45">
        <v>15</v>
      </c>
      <c r="C38" s="476" t="s">
        <v>538</v>
      </c>
      <c r="D38" s="10" t="s">
        <v>148</v>
      </c>
      <c r="E38" s="122" t="s">
        <v>149</v>
      </c>
      <c r="F38" s="122" t="s">
        <v>117</v>
      </c>
      <c r="G38" s="123">
        <v>4</v>
      </c>
      <c r="H38" s="124">
        <v>0</v>
      </c>
      <c r="I38" s="125">
        <v>30000</v>
      </c>
      <c r="J38" s="124">
        <f t="shared" si="2"/>
        <v>0</v>
      </c>
      <c r="K38" s="126">
        <f t="shared" si="3"/>
        <v>120000</v>
      </c>
      <c r="L38" s="183" t="s">
        <v>520</v>
      </c>
    </row>
    <row r="39" spans="1:12" ht="54.95" customHeight="1">
      <c r="A39" s="182" t="s">
        <v>508</v>
      </c>
      <c r="B39" s="47">
        <v>16</v>
      </c>
      <c r="C39" s="477"/>
      <c r="D39" s="15" t="s">
        <v>150</v>
      </c>
      <c r="E39" s="144" t="s">
        <v>129</v>
      </c>
      <c r="F39" s="144" t="s">
        <v>117</v>
      </c>
      <c r="G39" s="145">
        <v>2</v>
      </c>
      <c r="H39" s="146">
        <v>0</v>
      </c>
      <c r="I39" s="147">
        <v>27100</v>
      </c>
      <c r="J39" s="146">
        <f t="shared" si="2"/>
        <v>0</v>
      </c>
      <c r="K39" s="148">
        <f t="shared" si="3"/>
        <v>54200</v>
      </c>
      <c r="L39" s="183" t="s">
        <v>521</v>
      </c>
    </row>
    <row r="40" spans="1:12" ht="54.95" customHeight="1">
      <c r="A40" s="182" t="s">
        <v>508</v>
      </c>
      <c r="B40" s="45">
        <v>17</v>
      </c>
      <c r="C40" s="165" t="s">
        <v>151</v>
      </c>
      <c r="D40" s="10" t="s">
        <v>151</v>
      </c>
      <c r="E40" s="122" t="s">
        <v>116</v>
      </c>
      <c r="F40" s="122" t="s">
        <v>152</v>
      </c>
      <c r="G40" s="123">
        <v>1</v>
      </c>
      <c r="H40" s="124">
        <v>32600000000</v>
      </c>
      <c r="I40" s="125">
        <v>0</v>
      </c>
      <c r="J40" s="124">
        <f t="shared" si="2"/>
        <v>32600000000</v>
      </c>
      <c r="K40" s="126">
        <f t="shared" si="3"/>
        <v>0</v>
      </c>
      <c r="L40" s="184" t="s">
        <v>522</v>
      </c>
    </row>
    <row r="41" spans="1:12" ht="54.95" customHeight="1">
      <c r="A41" s="182" t="s">
        <v>508</v>
      </c>
      <c r="B41" s="47">
        <v>18</v>
      </c>
      <c r="C41" s="14" t="s">
        <v>432</v>
      </c>
      <c r="D41" s="15" t="s">
        <v>153</v>
      </c>
      <c r="E41" s="144" t="s">
        <v>73</v>
      </c>
      <c r="F41" s="144" t="s">
        <v>154</v>
      </c>
      <c r="G41" s="145">
        <v>1</v>
      </c>
      <c r="H41" s="146">
        <v>5000000000</v>
      </c>
      <c r="I41" s="147">
        <v>0</v>
      </c>
      <c r="J41" s="146">
        <f t="shared" si="2"/>
        <v>5000000000</v>
      </c>
      <c r="K41" s="148">
        <f t="shared" si="3"/>
        <v>0</v>
      </c>
      <c r="L41" s="185" t="s">
        <v>524</v>
      </c>
    </row>
    <row r="42" spans="1:12" ht="26.1" customHeight="1" thickBot="1">
      <c r="A42" s="244"/>
      <c r="B42" s="395" t="s">
        <v>75</v>
      </c>
      <c r="C42" s="396"/>
      <c r="D42" s="397"/>
      <c r="E42" s="397"/>
      <c r="F42" s="397"/>
      <c r="G42" s="56">
        <f>SUM(G24:G41)</f>
        <v>29</v>
      </c>
      <c r="H42" s="57"/>
      <c r="I42" s="58"/>
      <c r="J42" s="56">
        <f>SUM(J24:J41)</f>
        <v>98180000000</v>
      </c>
      <c r="K42" s="59">
        <f>SUM(K24:K41)</f>
        <v>1246100</v>
      </c>
      <c r="L42" s="245"/>
    </row>
    <row r="43" spans="1:12" ht="24.75" thickBot="1">
      <c r="A43" s="140"/>
      <c r="B43" s="160"/>
      <c r="C43" s="160"/>
      <c r="D43" s="160"/>
      <c r="E43" s="160"/>
      <c r="F43" s="160"/>
      <c r="G43" s="161"/>
      <c r="H43" s="161"/>
      <c r="I43" s="161"/>
      <c r="J43" s="161"/>
      <c r="K43" s="161"/>
      <c r="L43" s="67"/>
    </row>
    <row r="44" spans="1:12" ht="24.75" hidden="1" thickBot="1">
      <c r="A44" s="140"/>
      <c r="B44" s="160"/>
      <c r="C44" s="160"/>
      <c r="D44" s="160"/>
      <c r="E44" s="160"/>
      <c r="F44" s="160"/>
      <c r="G44" s="161"/>
      <c r="H44" s="161"/>
      <c r="I44" s="161"/>
      <c r="J44" s="161"/>
      <c r="K44" s="161"/>
      <c r="L44" s="67"/>
    </row>
    <row r="45" spans="1:12" ht="24.75" hidden="1" thickBot="1">
      <c r="A45" s="140"/>
      <c r="B45" s="160"/>
      <c r="C45" s="160"/>
      <c r="D45" s="160"/>
      <c r="E45" s="160"/>
      <c r="F45" s="160"/>
      <c r="G45" s="161"/>
      <c r="H45" s="161"/>
      <c r="I45" s="161"/>
      <c r="J45" s="161"/>
      <c r="K45" s="161"/>
      <c r="L45" s="67"/>
    </row>
    <row r="46" spans="1:12" ht="54" customHeight="1">
      <c r="A46" s="137"/>
      <c r="B46" s="472" t="s">
        <v>155</v>
      </c>
      <c r="C46" s="473"/>
      <c r="D46" s="474"/>
      <c r="E46" s="474"/>
      <c r="F46" s="474"/>
      <c r="G46" s="474"/>
      <c r="H46" s="474"/>
      <c r="I46" s="474"/>
      <c r="J46" s="474"/>
      <c r="K46" s="475"/>
      <c r="L46" s="139"/>
    </row>
    <row r="47" spans="1:12" ht="18" customHeight="1">
      <c r="A47" s="140"/>
      <c r="B47" s="42"/>
      <c r="C47" s="160"/>
      <c r="D47" s="160"/>
      <c r="E47" s="160"/>
      <c r="F47" s="160"/>
      <c r="G47" s="161"/>
      <c r="H47" s="161"/>
      <c r="I47" s="161"/>
      <c r="J47" s="161"/>
      <c r="K47" s="159"/>
      <c r="L47" s="67"/>
    </row>
    <row r="48" spans="1:12" ht="27.95" customHeight="1">
      <c r="A48" s="180" t="s">
        <v>506</v>
      </c>
      <c r="B48" s="43" t="s">
        <v>35</v>
      </c>
      <c r="C48" s="149" t="s">
        <v>393</v>
      </c>
      <c r="D48" s="149" t="s">
        <v>523</v>
      </c>
      <c r="E48" s="149" t="s">
        <v>37</v>
      </c>
      <c r="F48" s="149" t="s">
        <v>38</v>
      </c>
      <c r="G48" s="149" t="s">
        <v>39</v>
      </c>
      <c r="H48" s="149" t="s">
        <v>40</v>
      </c>
      <c r="I48" s="149" t="s">
        <v>41</v>
      </c>
      <c r="J48" s="149" t="s">
        <v>42</v>
      </c>
      <c r="K48" s="150" t="s">
        <v>43</v>
      </c>
      <c r="L48" s="181" t="s">
        <v>480</v>
      </c>
    </row>
    <row r="49" spans="1:12" ht="69.95" customHeight="1">
      <c r="A49" s="186" t="s">
        <v>509</v>
      </c>
      <c r="B49" s="47">
        <v>1</v>
      </c>
      <c r="C49" s="60" t="s">
        <v>539</v>
      </c>
      <c r="D49" s="15" t="s">
        <v>156</v>
      </c>
      <c r="E49" s="144" t="s">
        <v>52</v>
      </c>
      <c r="F49" s="144" t="s">
        <v>157</v>
      </c>
      <c r="G49" s="145">
        <v>4</v>
      </c>
      <c r="H49" s="146">
        <v>1500000000</v>
      </c>
      <c r="I49" s="147">
        <v>0</v>
      </c>
      <c r="J49" s="146">
        <f t="shared" ref="J49:J61" si="4">G49*H49</f>
        <v>6000000000</v>
      </c>
      <c r="K49" s="148">
        <f t="shared" ref="K49:K61" si="5">G49*I49</f>
        <v>0</v>
      </c>
      <c r="L49" s="187" t="s">
        <v>550</v>
      </c>
    </row>
    <row r="50" spans="1:12" ht="69.95" customHeight="1">
      <c r="A50" s="186" t="s">
        <v>509</v>
      </c>
      <c r="B50" s="45">
        <v>2</v>
      </c>
      <c r="C50" s="60" t="s">
        <v>539</v>
      </c>
      <c r="D50" s="10" t="s">
        <v>158</v>
      </c>
      <c r="E50" s="122" t="s">
        <v>52</v>
      </c>
      <c r="F50" s="122" t="s">
        <v>157</v>
      </c>
      <c r="G50" s="123">
        <v>4</v>
      </c>
      <c r="H50" s="124">
        <v>1200000000</v>
      </c>
      <c r="I50" s="125">
        <v>0</v>
      </c>
      <c r="J50" s="124">
        <f t="shared" si="4"/>
        <v>4800000000</v>
      </c>
      <c r="K50" s="126">
        <f t="shared" si="5"/>
        <v>0</v>
      </c>
      <c r="L50" s="187" t="s">
        <v>550</v>
      </c>
    </row>
    <row r="51" spans="1:12" ht="69.95" customHeight="1">
      <c r="A51" s="186" t="s">
        <v>509</v>
      </c>
      <c r="B51" s="47">
        <v>3</v>
      </c>
      <c r="C51" s="60" t="s">
        <v>539</v>
      </c>
      <c r="D51" s="15" t="s">
        <v>159</v>
      </c>
      <c r="E51" s="144" t="s">
        <v>52</v>
      </c>
      <c r="F51" s="144" t="s">
        <v>157</v>
      </c>
      <c r="G51" s="145">
        <v>4</v>
      </c>
      <c r="H51" s="146">
        <v>950000000</v>
      </c>
      <c r="I51" s="147">
        <v>0</v>
      </c>
      <c r="J51" s="146">
        <f t="shared" si="4"/>
        <v>3800000000</v>
      </c>
      <c r="K51" s="148">
        <f t="shared" si="5"/>
        <v>0</v>
      </c>
      <c r="L51" s="187" t="s">
        <v>550</v>
      </c>
    </row>
    <row r="52" spans="1:12" ht="48">
      <c r="A52" s="186" t="s">
        <v>509</v>
      </c>
      <c r="B52" s="45">
        <v>4</v>
      </c>
      <c r="C52" s="60" t="s">
        <v>540</v>
      </c>
      <c r="D52" s="10" t="s">
        <v>160</v>
      </c>
      <c r="E52" s="122" t="s">
        <v>52</v>
      </c>
      <c r="F52" s="122" t="s">
        <v>157</v>
      </c>
      <c r="G52" s="123">
        <v>1</v>
      </c>
      <c r="H52" s="124">
        <v>0</v>
      </c>
      <c r="I52" s="125">
        <v>12300</v>
      </c>
      <c r="J52" s="124">
        <f t="shared" si="4"/>
        <v>0</v>
      </c>
      <c r="K52" s="126">
        <f t="shared" si="5"/>
        <v>12300</v>
      </c>
      <c r="L52" s="187" t="s">
        <v>551</v>
      </c>
    </row>
    <row r="53" spans="1:12" ht="120">
      <c r="A53" s="186" t="s">
        <v>509</v>
      </c>
      <c r="B53" s="47">
        <v>5</v>
      </c>
      <c r="C53" s="14" t="s">
        <v>543</v>
      </c>
      <c r="D53" s="15" t="s">
        <v>161</v>
      </c>
      <c r="E53" s="144" t="s">
        <v>52</v>
      </c>
      <c r="F53" s="144" t="s">
        <v>157</v>
      </c>
      <c r="G53" s="145">
        <v>1</v>
      </c>
      <c r="H53" s="146">
        <v>0</v>
      </c>
      <c r="I53" s="147">
        <v>5200</v>
      </c>
      <c r="J53" s="146">
        <f t="shared" si="4"/>
        <v>0</v>
      </c>
      <c r="K53" s="148">
        <f t="shared" si="5"/>
        <v>5200</v>
      </c>
      <c r="L53" s="187" t="s">
        <v>552</v>
      </c>
    </row>
    <row r="54" spans="1:12" ht="120">
      <c r="A54" s="186" t="s">
        <v>509</v>
      </c>
      <c r="B54" s="45">
        <v>5.0999999999999996</v>
      </c>
      <c r="C54" s="9" t="s">
        <v>544</v>
      </c>
      <c r="D54" s="10" t="s">
        <v>162</v>
      </c>
      <c r="E54" s="122" t="s">
        <v>116</v>
      </c>
      <c r="F54" s="122" t="s">
        <v>157</v>
      </c>
      <c r="G54" s="123">
        <v>1</v>
      </c>
      <c r="H54" s="124">
        <v>0</v>
      </c>
      <c r="I54" s="125">
        <v>49000</v>
      </c>
      <c r="J54" s="124">
        <f t="shared" si="4"/>
        <v>0</v>
      </c>
      <c r="K54" s="126">
        <f t="shared" si="5"/>
        <v>49000</v>
      </c>
      <c r="L54" s="187" t="s">
        <v>553</v>
      </c>
    </row>
    <row r="55" spans="1:12" ht="99" customHeight="1">
      <c r="A55" s="186" t="s">
        <v>509</v>
      </c>
      <c r="B55" s="47">
        <v>6</v>
      </c>
      <c r="C55" s="61" t="s">
        <v>545</v>
      </c>
      <c r="D55" s="15" t="s">
        <v>163</v>
      </c>
      <c r="E55" s="144" t="s">
        <v>52</v>
      </c>
      <c r="F55" s="144" t="s">
        <v>157</v>
      </c>
      <c r="G55" s="145">
        <v>7</v>
      </c>
      <c r="H55" s="146">
        <v>0</v>
      </c>
      <c r="I55" s="147">
        <v>2360</v>
      </c>
      <c r="J55" s="146">
        <f t="shared" si="4"/>
        <v>0</v>
      </c>
      <c r="K55" s="148">
        <f t="shared" si="5"/>
        <v>16520</v>
      </c>
      <c r="L55" s="187" t="s">
        <v>554</v>
      </c>
    </row>
    <row r="56" spans="1:12" ht="69.95" customHeight="1">
      <c r="A56" s="186" t="s">
        <v>509</v>
      </c>
      <c r="B56" s="45">
        <v>7</v>
      </c>
      <c r="C56" s="61" t="s">
        <v>546</v>
      </c>
      <c r="D56" s="10" t="s">
        <v>164</v>
      </c>
      <c r="E56" s="122" t="s">
        <v>52</v>
      </c>
      <c r="F56" s="122" t="s">
        <v>157</v>
      </c>
      <c r="G56" s="123">
        <v>2</v>
      </c>
      <c r="H56" s="124">
        <v>4500000000</v>
      </c>
      <c r="I56" s="125">
        <v>0</v>
      </c>
      <c r="J56" s="124">
        <f t="shared" si="4"/>
        <v>9000000000</v>
      </c>
      <c r="K56" s="126">
        <f t="shared" si="5"/>
        <v>0</v>
      </c>
      <c r="L56" s="187" t="s">
        <v>555</v>
      </c>
    </row>
    <row r="57" spans="1:12" ht="69.95" customHeight="1">
      <c r="A57" s="186" t="s">
        <v>509</v>
      </c>
      <c r="B57" s="47">
        <v>8</v>
      </c>
      <c r="C57" s="61" t="s">
        <v>547</v>
      </c>
      <c r="D57" s="15" t="s">
        <v>165</v>
      </c>
      <c r="E57" s="144" t="s">
        <v>52</v>
      </c>
      <c r="F57" s="144" t="s">
        <v>157</v>
      </c>
      <c r="G57" s="145">
        <v>2</v>
      </c>
      <c r="H57" s="146">
        <v>0</v>
      </c>
      <c r="I57" s="147">
        <v>12300</v>
      </c>
      <c r="J57" s="146">
        <f t="shared" si="4"/>
        <v>0</v>
      </c>
      <c r="K57" s="148">
        <f t="shared" si="5"/>
        <v>24600</v>
      </c>
      <c r="L57" s="187" t="s">
        <v>556</v>
      </c>
    </row>
    <row r="58" spans="1:12" ht="69.95" customHeight="1">
      <c r="A58" s="186" t="s">
        <v>509</v>
      </c>
      <c r="B58" s="45">
        <v>9</v>
      </c>
      <c r="C58" s="9" t="s">
        <v>541</v>
      </c>
      <c r="D58" s="10" t="s">
        <v>166</v>
      </c>
      <c r="E58" s="122" t="s">
        <v>116</v>
      </c>
      <c r="F58" s="122" t="s">
        <v>157</v>
      </c>
      <c r="G58" s="123">
        <v>2</v>
      </c>
      <c r="H58" s="124">
        <v>0</v>
      </c>
      <c r="I58" s="125">
        <v>80000</v>
      </c>
      <c r="J58" s="124">
        <f t="shared" si="4"/>
        <v>0</v>
      </c>
      <c r="K58" s="126">
        <f t="shared" si="5"/>
        <v>160000</v>
      </c>
      <c r="L58" s="187" t="s">
        <v>557</v>
      </c>
    </row>
    <row r="59" spans="1:12" ht="69.95" customHeight="1">
      <c r="A59" s="186" t="s">
        <v>509</v>
      </c>
      <c r="B59" s="47">
        <v>10</v>
      </c>
      <c r="C59" s="14" t="s">
        <v>542</v>
      </c>
      <c r="D59" s="15" t="s">
        <v>167</v>
      </c>
      <c r="E59" s="144" t="s">
        <v>116</v>
      </c>
      <c r="F59" s="144" t="s">
        <v>157</v>
      </c>
      <c r="G59" s="145">
        <v>20000</v>
      </c>
      <c r="H59" s="146">
        <v>0</v>
      </c>
      <c r="I59" s="147">
        <v>10</v>
      </c>
      <c r="J59" s="146">
        <f t="shared" si="4"/>
        <v>0</v>
      </c>
      <c r="K59" s="148">
        <f t="shared" si="5"/>
        <v>200000</v>
      </c>
      <c r="L59" s="187" t="s">
        <v>558</v>
      </c>
    </row>
    <row r="60" spans="1:12" ht="42.75" customHeight="1">
      <c r="A60" s="186" t="s">
        <v>509</v>
      </c>
      <c r="B60" s="45">
        <v>11</v>
      </c>
      <c r="C60" s="9" t="s">
        <v>548</v>
      </c>
      <c r="D60" s="10" t="s">
        <v>168</v>
      </c>
      <c r="E60" s="122" t="s">
        <v>169</v>
      </c>
      <c r="F60" s="122" t="s">
        <v>46</v>
      </c>
      <c r="G60" s="123">
        <v>600</v>
      </c>
      <c r="H60" s="124">
        <v>0</v>
      </c>
      <c r="I60" s="125">
        <v>160</v>
      </c>
      <c r="J60" s="124">
        <f t="shared" si="4"/>
        <v>0</v>
      </c>
      <c r="K60" s="126">
        <f t="shared" si="5"/>
        <v>96000</v>
      </c>
      <c r="L60" s="188" t="s">
        <v>559</v>
      </c>
    </row>
    <row r="61" spans="1:12" ht="69.95" customHeight="1">
      <c r="A61" s="186" t="s">
        <v>509</v>
      </c>
      <c r="B61" s="47">
        <v>12</v>
      </c>
      <c r="C61" s="14" t="s">
        <v>549</v>
      </c>
      <c r="D61" s="15" t="s">
        <v>170</v>
      </c>
      <c r="E61" s="144" t="s">
        <v>73</v>
      </c>
      <c r="F61" s="144" t="s">
        <v>74</v>
      </c>
      <c r="G61" s="145">
        <v>1</v>
      </c>
      <c r="H61" s="146">
        <v>5000000000</v>
      </c>
      <c r="I61" s="147">
        <v>0</v>
      </c>
      <c r="J61" s="146">
        <f t="shared" si="4"/>
        <v>5000000000</v>
      </c>
      <c r="K61" s="148">
        <f t="shared" si="5"/>
        <v>0</v>
      </c>
      <c r="L61" s="185" t="s">
        <v>503</v>
      </c>
    </row>
    <row r="62" spans="1:12" ht="26.1" customHeight="1" thickBot="1">
      <c r="A62" s="141"/>
      <c r="B62" s="395" t="s">
        <v>75</v>
      </c>
      <c r="C62" s="396"/>
      <c r="D62" s="397"/>
      <c r="E62" s="397"/>
      <c r="F62" s="397"/>
      <c r="G62" s="56">
        <f>SUM(G49:G61)</f>
        <v>20629</v>
      </c>
      <c r="H62" s="57"/>
      <c r="I62" s="58"/>
      <c r="J62" s="56">
        <f>SUM(J49:J61)</f>
        <v>28600000000</v>
      </c>
      <c r="K62" s="59">
        <f>SUM(K49:K61)</f>
        <v>563620</v>
      </c>
      <c r="L62" s="143"/>
    </row>
  </sheetData>
  <mergeCells count="12">
    <mergeCell ref="B62:F62"/>
    <mergeCell ref="B42:F42"/>
    <mergeCell ref="B3:D3"/>
    <mergeCell ref="B21:K21"/>
    <mergeCell ref="B1:B2"/>
    <mergeCell ref="B17:F17"/>
    <mergeCell ref="K1:K2"/>
    <mergeCell ref="B5:K5"/>
    <mergeCell ref="B46:K46"/>
    <mergeCell ref="E2:I2"/>
    <mergeCell ref="C38:C39"/>
    <mergeCell ref="D1:J1"/>
  </mergeCells>
  <hyperlinks>
    <hyperlink ref="B3" location="Dashboard!A1" display="◀ بازگشت به داشبورد" xr:uid="{00000000-0004-0000-0200-000000000000}"/>
  </hyperlinks>
  <printOptions horizontalCentered="1" verticalCentered="1"/>
  <pageMargins left="0.1" right="0.1" top="0.1" bottom="0.1" header="0.1" footer="0.1"/>
  <pageSetup paperSize="8" scale="44" fitToHeight="0" orientation="landscape" r:id="rId1"/>
  <rowBreaks count="2" manualBreakCount="2">
    <brk id="20" max="16383" man="1"/>
    <brk id="42" max="11"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D54D3-EB06-4399-B697-DF47DD5699B7}">
  <sheetPr codeName="Sheet18" filterMode="1">
    <tabColor rgb="FF002060"/>
    <pageSetUpPr fitToPage="1"/>
  </sheetPr>
  <dimension ref="A1:L48"/>
  <sheetViews>
    <sheetView showGridLines="0" topLeftCell="A4" zoomScale="70" zoomScaleNormal="70" workbookViewId="0">
      <selection activeCell="D14" sqref="D14"/>
    </sheetView>
  </sheetViews>
  <sheetFormatPr defaultRowHeight="24"/>
  <cols>
    <col min="1" max="1" width="31.7109375" style="76" customWidth="1"/>
    <col min="2" max="2" width="8" style="49" customWidth="1"/>
    <col min="3" max="3" width="17.28515625" style="49" customWidth="1"/>
    <col min="4" max="4" width="65" style="49" customWidth="1"/>
    <col min="5" max="5" width="12" style="49" customWidth="1"/>
    <col min="6" max="6" width="10" style="49" customWidth="1"/>
    <col min="7" max="7" width="12" style="2" customWidth="1"/>
    <col min="8" max="9" width="20" style="2" customWidth="1"/>
    <col min="10" max="10" width="22" style="2" customWidth="1"/>
    <col min="11" max="11" width="24.140625" style="2" customWidth="1"/>
    <col min="12" max="12" width="47" style="55" bestFit="1" customWidth="1"/>
    <col min="13" max="16384" width="9.140625" style="49"/>
  </cols>
  <sheetData>
    <row r="1" spans="1:12" ht="27.95" customHeight="1">
      <c r="A1" s="77"/>
      <c r="B1" s="398"/>
      <c r="C1" s="38"/>
      <c r="D1" s="315"/>
      <c r="E1" s="447" t="s">
        <v>0</v>
      </c>
      <c r="F1" s="448"/>
      <c r="G1" s="448"/>
      <c r="H1" s="448"/>
      <c r="I1" s="448"/>
      <c r="J1" s="449"/>
      <c r="K1" s="413"/>
      <c r="L1" s="35"/>
    </row>
    <row r="2" spans="1:12" ht="27.95" customHeight="1" thickBot="1">
      <c r="A2" s="77"/>
      <c r="B2" s="399"/>
      <c r="C2" s="39"/>
      <c r="D2" s="316"/>
      <c r="E2" s="327" t="s">
        <v>113</v>
      </c>
      <c r="F2" s="328"/>
      <c r="G2" s="328"/>
      <c r="H2" s="328"/>
      <c r="I2" s="329"/>
      <c r="J2" s="450"/>
      <c r="K2" s="414"/>
      <c r="L2" s="35"/>
    </row>
    <row r="3" spans="1:12" ht="21.95" customHeight="1" thickBot="1">
      <c r="A3" s="77"/>
      <c r="B3" s="381" t="s">
        <v>33</v>
      </c>
      <c r="C3" s="382"/>
      <c r="D3" s="383"/>
      <c r="E3" s="52"/>
      <c r="F3" s="52"/>
      <c r="G3" s="53"/>
      <c r="H3" s="53"/>
      <c r="I3" s="53"/>
      <c r="J3" s="53"/>
      <c r="K3" s="40"/>
      <c r="L3" s="35"/>
    </row>
    <row r="4" spans="1:12" ht="15" customHeight="1" thickBot="1">
      <c r="A4" s="77"/>
      <c r="B4" s="41"/>
      <c r="C4" s="1"/>
      <c r="D4" s="1"/>
      <c r="E4" s="1"/>
      <c r="F4" s="1"/>
      <c r="G4" s="3"/>
      <c r="H4" s="3"/>
      <c r="I4" s="3"/>
      <c r="J4" s="3"/>
      <c r="K4" s="40"/>
      <c r="L4" s="35"/>
    </row>
    <row r="5" spans="1:12" ht="26.1" customHeight="1">
      <c r="A5" s="77"/>
      <c r="B5" s="479"/>
      <c r="C5" s="480"/>
      <c r="D5" s="481"/>
      <c r="E5" s="481"/>
      <c r="F5" s="481"/>
      <c r="G5" s="481"/>
      <c r="H5" s="481"/>
      <c r="I5" s="481"/>
      <c r="J5" s="481"/>
      <c r="K5" s="482"/>
      <c r="L5" s="35"/>
    </row>
    <row r="6" spans="1:12" ht="18" customHeight="1" thickBot="1">
      <c r="A6" s="77"/>
      <c r="B6" s="42"/>
      <c r="C6" s="52"/>
      <c r="D6" s="52"/>
      <c r="E6" s="52"/>
      <c r="F6" s="52"/>
      <c r="G6" s="53"/>
      <c r="H6" s="53"/>
      <c r="I6" s="53"/>
      <c r="J6" s="53"/>
      <c r="K6" s="54"/>
      <c r="L6" s="35"/>
    </row>
    <row r="7" spans="1:12" ht="27.95" customHeight="1">
      <c r="A7" s="71" t="s">
        <v>506</v>
      </c>
      <c r="B7" s="43" t="s">
        <v>35</v>
      </c>
      <c r="C7" s="34" t="s">
        <v>393</v>
      </c>
      <c r="D7" s="34" t="s">
        <v>523</v>
      </c>
      <c r="E7" s="34" t="s">
        <v>37</v>
      </c>
      <c r="F7" s="34" t="s">
        <v>38</v>
      </c>
      <c r="G7" s="34" t="s">
        <v>39</v>
      </c>
      <c r="H7" s="34" t="s">
        <v>40</v>
      </c>
      <c r="I7" s="34" t="s">
        <v>41</v>
      </c>
      <c r="J7" s="34" t="s">
        <v>42</v>
      </c>
      <c r="K7" s="44" t="s">
        <v>43</v>
      </c>
      <c r="L7" s="96" t="s">
        <v>480</v>
      </c>
    </row>
    <row r="8" spans="1:12" ht="71.25" hidden="1" customHeight="1">
      <c r="A8" s="72" t="s">
        <v>507</v>
      </c>
      <c r="B8" s="45">
        <v>1</v>
      </c>
      <c r="C8" s="78" t="s">
        <v>416</v>
      </c>
      <c r="D8" s="10" t="s">
        <v>115</v>
      </c>
      <c r="E8" s="9" t="s">
        <v>116</v>
      </c>
      <c r="F8" s="9" t="s">
        <v>117</v>
      </c>
      <c r="G8" s="11">
        <v>3</v>
      </c>
      <c r="H8" s="12">
        <v>0</v>
      </c>
      <c r="I8" s="13">
        <v>10000</v>
      </c>
      <c r="J8" s="12">
        <f t="shared" ref="J8:J16" si="0">G8*H8</f>
        <v>0</v>
      </c>
      <c r="K8" s="46">
        <f t="shared" ref="K8:K16" si="1">G8*I8</f>
        <v>30000</v>
      </c>
      <c r="L8" s="36" t="s">
        <v>424</v>
      </c>
    </row>
    <row r="9" spans="1:12" ht="71.25" hidden="1" customHeight="1">
      <c r="A9" s="72" t="s">
        <v>507</v>
      </c>
      <c r="B9" s="47">
        <v>2</v>
      </c>
      <c r="C9" s="78" t="s">
        <v>417</v>
      </c>
      <c r="D9" s="15" t="s">
        <v>118</v>
      </c>
      <c r="E9" s="14" t="s">
        <v>116</v>
      </c>
      <c r="F9" s="14" t="s">
        <v>117</v>
      </c>
      <c r="G9" s="16">
        <v>2</v>
      </c>
      <c r="H9" s="17">
        <v>0</v>
      </c>
      <c r="I9" s="18">
        <v>108260</v>
      </c>
      <c r="J9" s="17">
        <f t="shared" si="0"/>
        <v>0</v>
      </c>
      <c r="K9" s="48">
        <f t="shared" si="1"/>
        <v>216520</v>
      </c>
      <c r="L9" s="36" t="s">
        <v>425</v>
      </c>
    </row>
    <row r="10" spans="1:12" ht="71.25" hidden="1" customHeight="1">
      <c r="A10" s="72" t="s">
        <v>507</v>
      </c>
      <c r="B10" s="45">
        <v>3</v>
      </c>
      <c r="C10" s="24" t="s">
        <v>418</v>
      </c>
      <c r="D10" s="10" t="s">
        <v>119</v>
      </c>
      <c r="E10" s="9" t="s">
        <v>120</v>
      </c>
      <c r="F10" s="9" t="s">
        <v>117</v>
      </c>
      <c r="G10" s="11">
        <v>1</v>
      </c>
      <c r="H10" s="12">
        <v>0</v>
      </c>
      <c r="I10" s="13">
        <v>13900</v>
      </c>
      <c r="J10" s="12">
        <f t="shared" si="0"/>
        <v>0</v>
      </c>
      <c r="K10" s="46">
        <f t="shared" si="1"/>
        <v>13900</v>
      </c>
      <c r="L10" s="27" t="s">
        <v>426</v>
      </c>
    </row>
    <row r="11" spans="1:12" ht="71.25" hidden="1" customHeight="1">
      <c r="A11" s="72" t="s">
        <v>507</v>
      </c>
      <c r="B11" s="47">
        <v>4</v>
      </c>
      <c r="C11" s="78" t="s">
        <v>419</v>
      </c>
      <c r="D11" s="15" t="s">
        <v>121</v>
      </c>
      <c r="E11" s="14" t="s">
        <v>116</v>
      </c>
      <c r="F11" s="14" t="s">
        <v>117</v>
      </c>
      <c r="G11" s="16">
        <v>1</v>
      </c>
      <c r="H11" s="17">
        <v>0</v>
      </c>
      <c r="I11" s="18">
        <v>85000</v>
      </c>
      <c r="J11" s="17">
        <f t="shared" si="0"/>
        <v>0</v>
      </c>
      <c r="K11" s="48">
        <f t="shared" si="1"/>
        <v>85000</v>
      </c>
      <c r="L11" s="36" t="s">
        <v>427</v>
      </c>
    </row>
    <row r="12" spans="1:12" ht="71.25" customHeight="1">
      <c r="A12" s="72" t="s">
        <v>507</v>
      </c>
      <c r="B12" s="45">
        <v>5</v>
      </c>
      <c r="C12" s="25" t="s">
        <v>420</v>
      </c>
      <c r="D12" s="10" t="s">
        <v>122</v>
      </c>
      <c r="E12" s="9" t="s">
        <v>123</v>
      </c>
      <c r="F12" s="9" t="s">
        <v>117</v>
      </c>
      <c r="G12" s="11">
        <v>3</v>
      </c>
      <c r="H12" s="12">
        <v>0</v>
      </c>
      <c r="I12" s="13">
        <v>25000</v>
      </c>
      <c r="J12" s="12">
        <f t="shared" si="0"/>
        <v>0</v>
      </c>
      <c r="K12" s="46">
        <f t="shared" si="1"/>
        <v>75000</v>
      </c>
      <c r="L12" s="36" t="s">
        <v>428</v>
      </c>
    </row>
    <row r="13" spans="1:12" ht="71.25" customHeight="1">
      <c r="A13" s="72" t="s">
        <v>507</v>
      </c>
      <c r="B13" s="47">
        <v>6</v>
      </c>
      <c r="C13" s="25" t="s">
        <v>421</v>
      </c>
      <c r="D13" s="15" t="s">
        <v>124</v>
      </c>
      <c r="E13" s="14" t="s">
        <v>125</v>
      </c>
      <c r="F13" s="14" t="s">
        <v>117</v>
      </c>
      <c r="G13" s="16">
        <v>1</v>
      </c>
      <c r="H13" s="17">
        <v>0</v>
      </c>
      <c r="I13" s="18">
        <v>25000</v>
      </c>
      <c r="J13" s="17">
        <f t="shared" si="0"/>
        <v>0</v>
      </c>
      <c r="K13" s="48">
        <f t="shared" si="1"/>
        <v>25000</v>
      </c>
      <c r="L13" s="36" t="s">
        <v>429</v>
      </c>
    </row>
    <row r="14" spans="1:12" ht="71.25" customHeight="1">
      <c r="A14" s="72" t="s">
        <v>507</v>
      </c>
      <c r="B14" s="45">
        <v>7</v>
      </c>
      <c r="C14" s="25" t="s">
        <v>422</v>
      </c>
      <c r="D14" s="10" t="s">
        <v>126</v>
      </c>
      <c r="E14" s="9" t="s">
        <v>127</v>
      </c>
      <c r="F14" s="9" t="s">
        <v>117</v>
      </c>
      <c r="G14" s="11">
        <v>1</v>
      </c>
      <c r="H14" s="12">
        <v>0</v>
      </c>
      <c r="I14" s="13">
        <v>25000</v>
      </c>
      <c r="J14" s="12">
        <f t="shared" si="0"/>
        <v>0</v>
      </c>
      <c r="K14" s="46">
        <f t="shared" si="1"/>
        <v>25000</v>
      </c>
      <c r="L14" s="36" t="s">
        <v>430</v>
      </c>
    </row>
    <row r="15" spans="1:12" ht="71.25" hidden="1" customHeight="1">
      <c r="A15" s="72" t="s">
        <v>507</v>
      </c>
      <c r="B15" s="47">
        <v>8</v>
      </c>
      <c r="C15" s="25" t="s">
        <v>423</v>
      </c>
      <c r="D15" s="15" t="s">
        <v>128</v>
      </c>
      <c r="E15" s="14" t="s">
        <v>129</v>
      </c>
      <c r="F15" s="14" t="s">
        <v>117</v>
      </c>
      <c r="G15" s="16">
        <v>2</v>
      </c>
      <c r="H15" s="17">
        <v>0</v>
      </c>
      <c r="I15" s="18">
        <v>27100</v>
      </c>
      <c r="J15" s="17">
        <f t="shared" si="0"/>
        <v>0</v>
      </c>
      <c r="K15" s="48">
        <f t="shared" si="1"/>
        <v>54200</v>
      </c>
      <c r="L15" s="36" t="s">
        <v>431</v>
      </c>
    </row>
    <row r="16" spans="1:12" ht="71.25" hidden="1" customHeight="1">
      <c r="A16" s="72" t="s">
        <v>507</v>
      </c>
      <c r="B16" s="45">
        <v>9</v>
      </c>
      <c r="C16" s="9" t="s">
        <v>432</v>
      </c>
      <c r="D16" s="10" t="s">
        <v>130</v>
      </c>
      <c r="E16" s="9" t="s">
        <v>73</v>
      </c>
      <c r="F16" s="9" t="s">
        <v>131</v>
      </c>
      <c r="G16" s="11">
        <v>1</v>
      </c>
      <c r="H16" s="12">
        <v>0</v>
      </c>
      <c r="I16" s="13">
        <v>3192.6</v>
      </c>
      <c r="J16" s="12">
        <f t="shared" si="0"/>
        <v>0</v>
      </c>
      <c r="K16" s="46">
        <f t="shared" si="1"/>
        <v>3192.6</v>
      </c>
      <c r="L16" s="37" t="s">
        <v>503</v>
      </c>
    </row>
    <row r="17" spans="1:12" ht="69.95" hidden="1" customHeight="1">
      <c r="A17" s="73" t="s">
        <v>508</v>
      </c>
      <c r="B17" s="45">
        <v>1</v>
      </c>
      <c r="C17" s="78" t="s">
        <v>525</v>
      </c>
      <c r="D17" s="10" t="s">
        <v>133</v>
      </c>
      <c r="E17" s="9" t="s">
        <v>116</v>
      </c>
      <c r="F17" s="9" t="s">
        <v>117</v>
      </c>
      <c r="G17" s="11">
        <v>1</v>
      </c>
      <c r="H17" s="12">
        <v>0</v>
      </c>
      <c r="I17" s="13">
        <v>400000</v>
      </c>
      <c r="J17" s="12">
        <f t="shared" ref="J17:J34" si="2">G17*H17</f>
        <v>0</v>
      </c>
      <c r="K17" s="46">
        <f t="shared" ref="K17:K34" si="3">G17*I17</f>
        <v>400000</v>
      </c>
      <c r="L17" s="36" t="s">
        <v>510</v>
      </c>
    </row>
    <row r="18" spans="1:12" ht="69.95" hidden="1" customHeight="1">
      <c r="A18" s="73" t="s">
        <v>508</v>
      </c>
      <c r="B18" s="47">
        <v>2</v>
      </c>
      <c r="C18" s="78" t="s">
        <v>526</v>
      </c>
      <c r="D18" s="15" t="s">
        <v>134</v>
      </c>
      <c r="E18" s="14" t="s">
        <v>116</v>
      </c>
      <c r="F18" s="14" t="s">
        <v>117</v>
      </c>
      <c r="G18" s="16">
        <v>3</v>
      </c>
      <c r="H18" s="17">
        <v>0</v>
      </c>
      <c r="I18" s="18">
        <v>10000</v>
      </c>
      <c r="J18" s="17">
        <f t="shared" si="2"/>
        <v>0</v>
      </c>
      <c r="K18" s="48">
        <f t="shared" si="3"/>
        <v>30000</v>
      </c>
      <c r="L18" s="36" t="s">
        <v>511</v>
      </c>
    </row>
    <row r="19" spans="1:12" ht="69.95" hidden="1" customHeight="1">
      <c r="A19" s="73" t="s">
        <v>508</v>
      </c>
      <c r="B19" s="45">
        <v>3</v>
      </c>
      <c r="C19" s="78" t="s">
        <v>527</v>
      </c>
      <c r="D19" s="10" t="s">
        <v>135</v>
      </c>
      <c r="E19" s="9" t="s">
        <v>116</v>
      </c>
      <c r="F19" s="9" t="s">
        <v>117</v>
      </c>
      <c r="G19" s="11">
        <v>3</v>
      </c>
      <c r="H19" s="12">
        <v>0</v>
      </c>
      <c r="I19" s="13">
        <v>116000</v>
      </c>
      <c r="J19" s="12">
        <f t="shared" si="2"/>
        <v>0</v>
      </c>
      <c r="K19" s="46">
        <f t="shared" si="3"/>
        <v>348000</v>
      </c>
      <c r="L19" s="36" t="s">
        <v>512</v>
      </c>
    </row>
    <row r="20" spans="1:12" ht="69.95" hidden="1" customHeight="1">
      <c r="A20" s="73" t="s">
        <v>508</v>
      </c>
      <c r="B20" s="47">
        <v>4</v>
      </c>
      <c r="C20" s="78" t="s">
        <v>528</v>
      </c>
      <c r="D20" s="15" t="s">
        <v>136</v>
      </c>
      <c r="E20" s="14" t="s">
        <v>116</v>
      </c>
      <c r="F20" s="14" t="s">
        <v>117</v>
      </c>
      <c r="G20" s="16">
        <v>2</v>
      </c>
      <c r="H20" s="17">
        <v>0</v>
      </c>
      <c r="I20" s="18">
        <v>20000</v>
      </c>
      <c r="J20" s="17">
        <f t="shared" si="2"/>
        <v>0</v>
      </c>
      <c r="K20" s="48">
        <f t="shared" si="3"/>
        <v>40000</v>
      </c>
      <c r="L20" s="36" t="s">
        <v>513</v>
      </c>
    </row>
    <row r="21" spans="1:12" ht="69.95" hidden="1" customHeight="1">
      <c r="A21" s="73" t="s">
        <v>508</v>
      </c>
      <c r="B21" s="45">
        <v>5</v>
      </c>
      <c r="C21" s="78" t="s">
        <v>529</v>
      </c>
      <c r="D21" s="10" t="s">
        <v>137</v>
      </c>
      <c r="E21" s="9" t="s">
        <v>116</v>
      </c>
      <c r="F21" s="9" t="s">
        <v>117</v>
      </c>
      <c r="G21" s="11">
        <v>1</v>
      </c>
      <c r="H21" s="12">
        <v>0</v>
      </c>
      <c r="I21" s="13">
        <v>30000</v>
      </c>
      <c r="J21" s="12">
        <f t="shared" si="2"/>
        <v>0</v>
      </c>
      <c r="K21" s="46">
        <f t="shared" si="3"/>
        <v>30000</v>
      </c>
      <c r="L21" s="36" t="s">
        <v>514</v>
      </c>
    </row>
    <row r="22" spans="1:12" ht="69.95" hidden="1" customHeight="1">
      <c r="A22" s="73" t="s">
        <v>508</v>
      </c>
      <c r="B22" s="47">
        <v>6</v>
      </c>
      <c r="C22" s="78" t="s">
        <v>530</v>
      </c>
      <c r="D22" s="15" t="s">
        <v>138</v>
      </c>
      <c r="E22" s="14" t="s">
        <v>116</v>
      </c>
      <c r="F22" s="14" t="s">
        <v>117</v>
      </c>
      <c r="G22" s="16">
        <v>1</v>
      </c>
      <c r="H22" s="17">
        <v>0</v>
      </c>
      <c r="I22" s="18">
        <v>3000</v>
      </c>
      <c r="J22" s="17">
        <f t="shared" si="2"/>
        <v>0</v>
      </c>
      <c r="K22" s="48">
        <f t="shared" si="3"/>
        <v>3000</v>
      </c>
      <c r="L22" s="36" t="s">
        <v>515</v>
      </c>
    </row>
    <row r="23" spans="1:12" ht="69.95" hidden="1" customHeight="1">
      <c r="A23" s="73" t="s">
        <v>508</v>
      </c>
      <c r="B23" s="45">
        <v>7</v>
      </c>
      <c r="C23" s="78" t="s">
        <v>531</v>
      </c>
      <c r="D23" s="10" t="s">
        <v>139</v>
      </c>
      <c r="E23" s="9" t="s">
        <v>116</v>
      </c>
      <c r="F23" s="9" t="s">
        <v>117</v>
      </c>
      <c r="G23" s="11">
        <v>1</v>
      </c>
      <c r="H23" s="12">
        <v>0</v>
      </c>
      <c r="I23" s="13">
        <v>22000</v>
      </c>
      <c r="J23" s="12">
        <f t="shared" si="2"/>
        <v>0</v>
      </c>
      <c r="K23" s="46">
        <f t="shared" si="3"/>
        <v>22000</v>
      </c>
      <c r="L23" s="36" t="s">
        <v>516</v>
      </c>
    </row>
    <row r="24" spans="1:12" ht="69.95" hidden="1" customHeight="1">
      <c r="A24" s="73" t="s">
        <v>508</v>
      </c>
      <c r="B24" s="47">
        <v>8</v>
      </c>
      <c r="C24" s="78" t="s">
        <v>532</v>
      </c>
      <c r="D24" s="15" t="s">
        <v>140</v>
      </c>
      <c r="E24" s="14" t="s">
        <v>116</v>
      </c>
      <c r="F24" s="14" t="s">
        <v>117</v>
      </c>
      <c r="G24" s="16">
        <v>1</v>
      </c>
      <c r="H24" s="17">
        <v>0</v>
      </c>
      <c r="I24" s="18">
        <v>85000</v>
      </c>
      <c r="J24" s="17">
        <f t="shared" si="2"/>
        <v>0</v>
      </c>
      <c r="K24" s="48">
        <f t="shared" si="3"/>
        <v>85000</v>
      </c>
      <c r="L24" s="36" t="s">
        <v>427</v>
      </c>
    </row>
    <row r="25" spans="1:12" ht="69.95" customHeight="1">
      <c r="A25" s="73" t="s">
        <v>508</v>
      </c>
      <c r="B25" s="45">
        <v>9</v>
      </c>
      <c r="C25" s="25" t="s">
        <v>533</v>
      </c>
      <c r="D25" s="10" t="s">
        <v>141</v>
      </c>
      <c r="E25" s="9" t="s">
        <v>123</v>
      </c>
      <c r="F25" s="9" t="s">
        <v>117</v>
      </c>
      <c r="G25" s="11">
        <v>1</v>
      </c>
      <c r="H25" s="12">
        <v>0</v>
      </c>
      <c r="I25" s="13">
        <v>25000</v>
      </c>
      <c r="J25" s="12">
        <f t="shared" si="2"/>
        <v>0</v>
      </c>
      <c r="K25" s="46">
        <f t="shared" si="3"/>
        <v>25000</v>
      </c>
      <c r="L25" s="36" t="s">
        <v>428</v>
      </c>
    </row>
    <row r="26" spans="1:12" ht="69.95" customHeight="1">
      <c r="A26" s="73" t="s">
        <v>508</v>
      </c>
      <c r="B26" s="47">
        <v>10</v>
      </c>
      <c r="C26" s="25" t="s">
        <v>422</v>
      </c>
      <c r="D26" s="15" t="s">
        <v>126</v>
      </c>
      <c r="E26" s="14" t="s">
        <v>127</v>
      </c>
      <c r="F26" s="14" t="s">
        <v>117</v>
      </c>
      <c r="G26" s="16">
        <v>3</v>
      </c>
      <c r="H26" s="17">
        <v>0</v>
      </c>
      <c r="I26" s="18">
        <v>25000</v>
      </c>
      <c r="J26" s="17">
        <f t="shared" si="2"/>
        <v>0</v>
      </c>
      <c r="K26" s="48">
        <f t="shared" si="3"/>
        <v>75000</v>
      </c>
      <c r="L26" s="36" t="s">
        <v>430</v>
      </c>
    </row>
    <row r="27" spans="1:12" ht="69.95" hidden="1" customHeight="1">
      <c r="A27" s="73" t="s">
        <v>508</v>
      </c>
      <c r="B27" s="45">
        <v>11</v>
      </c>
      <c r="C27" s="25" t="s">
        <v>534</v>
      </c>
      <c r="D27" s="10" t="s">
        <v>142</v>
      </c>
      <c r="E27" s="9" t="s">
        <v>143</v>
      </c>
      <c r="F27" s="9" t="s">
        <v>117</v>
      </c>
      <c r="G27" s="11">
        <v>1</v>
      </c>
      <c r="H27" s="12">
        <v>19000000000</v>
      </c>
      <c r="I27" s="13">
        <v>0</v>
      </c>
      <c r="J27" s="12">
        <f t="shared" si="2"/>
        <v>19000000000</v>
      </c>
      <c r="K27" s="46">
        <f t="shared" si="3"/>
        <v>0</v>
      </c>
      <c r="L27" s="36" t="s">
        <v>517</v>
      </c>
    </row>
    <row r="28" spans="1:12" ht="69.95" hidden="1" customHeight="1">
      <c r="A28" s="73" t="s">
        <v>508</v>
      </c>
      <c r="B28" s="47">
        <v>12</v>
      </c>
      <c r="C28" s="25" t="s">
        <v>535</v>
      </c>
      <c r="D28" s="15" t="s">
        <v>144</v>
      </c>
      <c r="E28" s="14" t="s">
        <v>143</v>
      </c>
      <c r="F28" s="14" t="s">
        <v>117</v>
      </c>
      <c r="G28" s="16">
        <v>1</v>
      </c>
      <c r="H28" s="17">
        <v>18980000000</v>
      </c>
      <c r="I28" s="18">
        <v>0</v>
      </c>
      <c r="J28" s="17">
        <f t="shared" si="2"/>
        <v>18980000000</v>
      </c>
      <c r="K28" s="48">
        <f t="shared" si="3"/>
        <v>0</v>
      </c>
      <c r="L28" s="36" t="s">
        <v>517</v>
      </c>
    </row>
    <row r="29" spans="1:12" ht="69.95" hidden="1" customHeight="1">
      <c r="A29" s="73" t="s">
        <v>508</v>
      </c>
      <c r="B29" s="45">
        <v>13</v>
      </c>
      <c r="C29" s="25" t="s">
        <v>536</v>
      </c>
      <c r="D29" s="10" t="s">
        <v>145</v>
      </c>
      <c r="E29" s="9" t="s">
        <v>146</v>
      </c>
      <c r="F29" s="9" t="s">
        <v>117</v>
      </c>
      <c r="G29" s="11">
        <v>1</v>
      </c>
      <c r="H29" s="12">
        <v>22600000000</v>
      </c>
      <c r="I29" s="13">
        <v>0</v>
      </c>
      <c r="J29" s="12">
        <f t="shared" si="2"/>
        <v>22600000000</v>
      </c>
      <c r="K29" s="46">
        <f t="shared" si="3"/>
        <v>0</v>
      </c>
      <c r="L29" s="36" t="s">
        <v>518</v>
      </c>
    </row>
    <row r="30" spans="1:12" ht="99" hidden="1" customHeight="1">
      <c r="A30" s="73" t="s">
        <v>508</v>
      </c>
      <c r="B30" s="47">
        <v>14</v>
      </c>
      <c r="C30" s="24" t="s">
        <v>537</v>
      </c>
      <c r="D30" s="15" t="s">
        <v>147</v>
      </c>
      <c r="E30" s="14" t="s">
        <v>120</v>
      </c>
      <c r="F30" s="14" t="s">
        <v>117</v>
      </c>
      <c r="G30" s="16">
        <v>1</v>
      </c>
      <c r="H30" s="17">
        <v>0</v>
      </c>
      <c r="I30" s="18">
        <v>13900</v>
      </c>
      <c r="J30" s="17">
        <f t="shared" si="2"/>
        <v>0</v>
      </c>
      <c r="K30" s="48">
        <f t="shared" si="3"/>
        <v>13900</v>
      </c>
      <c r="L30" s="27" t="s">
        <v>519</v>
      </c>
    </row>
    <row r="31" spans="1:12" ht="69.95" hidden="1" customHeight="1">
      <c r="A31" s="73" t="s">
        <v>508</v>
      </c>
      <c r="B31" s="45">
        <v>15</v>
      </c>
      <c r="C31" s="476" t="s">
        <v>538</v>
      </c>
      <c r="D31" s="10" t="s">
        <v>148</v>
      </c>
      <c r="E31" s="9" t="s">
        <v>149</v>
      </c>
      <c r="F31" s="9" t="s">
        <v>117</v>
      </c>
      <c r="G31" s="11">
        <v>4</v>
      </c>
      <c r="H31" s="12">
        <v>0</v>
      </c>
      <c r="I31" s="13">
        <v>30000</v>
      </c>
      <c r="J31" s="12">
        <f t="shared" si="2"/>
        <v>0</v>
      </c>
      <c r="K31" s="46">
        <f t="shared" si="3"/>
        <v>120000</v>
      </c>
      <c r="L31" s="36" t="s">
        <v>520</v>
      </c>
    </row>
    <row r="32" spans="1:12" ht="69.95" hidden="1" customHeight="1">
      <c r="A32" s="73" t="s">
        <v>508</v>
      </c>
      <c r="B32" s="47">
        <v>16</v>
      </c>
      <c r="C32" s="477"/>
      <c r="D32" s="15" t="s">
        <v>150</v>
      </c>
      <c r="E32" s="14" t="s">
        <v>129</v>
      </c>
      <c r="F32" s="14" t="s">
        <v>117</v>
      </c>
      <c r="G32" s="16">
        <v>2</v>
      </c>
      <c r="H32" s="17">
        <v>0</v>
      </c>
      <c r="I32" s="18">
        <v>27100</v>
      </c>
      <c r="J32" s="17">
        <f t="shared" si="2"/>
        <v>0</v>
      </c>
      <c r="K32" s="48">
        <f t="shared" si="3"/>
        <v>54200</v>
      </c>
      <c r="L32" s="36" t="s">
        <v>521</v>
      </c>
    </row>
    <row r="33" spans="1:12" ht="69.95" hidden="1" customHeight="1">
      <c r="A33" s="73" t="s">
        <v>508</v>
      </c>
      <c r="B33" s="45">
        <v>17</v>
      </c>
      <c r="C33" s="78" t="s">
        <v>151</v>
      </c>
      <c r="D33" s="10" t="s">
        <v>151</v>
      </c>
      <c r="E33" s="9" t="s">
        <v>116</v>
      </c>
      <c r="F33" s="9" t="s">
        <v>152</v>
      </c>
      <c r="G33" s="11">
        <v>1</v>
      </c>
      <c r="H33" s="12">
        <v>32600000000</v>
      </c>
      <c r="I33" s="13">
        <v>0</v>
      </c>
      <c r="J33" s="12">
        <f t="shared" si="2"/>
        <v>32600000000</v>
      </c>
      <c r="K33" s="46">
        <f t="shared" si="3"/>
        <v>0</v>
      </c>
      <c r="L33" s="27" t="s">
        <v>522</v>
      </c>
    </row>
    <row r="34" spans="1:12" ht="69.95" hidden="1" customHeight="1">
      <c r="A34" s="73" t="s">
        <v>508</v>
      </c>
      <c r="B34" s="47">
        <v>18</v>
      </c>
      <c r="C34" s="14" t="s">
        <v>432</v>
      </c>
      <c r="D34" s="15" t="s">
        <v>153</v>
      </c>
      <c r="E34" s="14" t="s">
        <v>73</v>
      </c>
      <c r="F34" s="14" t="s">
        <v>154</v>
      </c>
      <c r="G34" s="16">
        <v>1</v>
      </c>
      <c r="H34" s="17">
        <v>5000000000</v>
      </c>
      <c r="I34" s="18">
        <v>0</v>
      </c>
      <c r="J34" s="17">
        <f t="shared" si="2"/>
        <v>5000000000</v>
      </c>
      <c r="K34" s="48">
        <f t="shared" si="3"/>
        <v>0</v>
      </c>
      <c r="L34" s="37" t="s">
        <v>524</v>
      </c>
    </row>
    <row r="35" spans="1:12" ht="69.95" hidden="1" customHeight="1">
      <c r="A35" s="74" t="s">
        <v>509</v>
      </c>
      <c r="B35" s="47">
        <v>1</v>
      </c>
      <c r="C35" s="60" t="s">
        <v>539</v>
      </c>
      <c r="D35" s="15" t="s">
        <v>156</v>
      </c>
      <c r="E35" s="14" t="s">
        <v>52</v>
      </c>
      <c r="F35" s="14" t="s">
        <v>157</v>
      </c>
      <c r="G35" s="16">
        <v>4</v>
      </c>
      <c r="H35" s="17">
        <v>1500000000</v>
      </c>
      <c r="I35" s="18">
        <v>0</v>
      </c>
      <c r="J35" s="17">
        <f t="shared" ref="J35:J47" si="4">G35*H35</f>
        <v>6000000000</v>
      </c>
      <c r="K35" s="48">
        <f t="shared" ref="K35:K47" si="5">G35*I35</f>
        <v>0</v>
      </c>
      <c r="L35" s="62" t="s">
        <v>550</v>
      </c>
    </row>
    <row r="36" spans="1:12" ht="69.95" hidden="1" customHeight="1">
      <c r="A36" s="74" t="s">
        <v>509</v>
      </c>
      <c r="B36" s="45">
        <v>2</v>
      </c>
      <c r="C36" s="60" t="s">
        <v>539</v>
      </c>
      <c r="D36" s="10" t="s">
        <v>158</v>
      </c>
      <c r="E36" s="9" t="s">
        <v>52</v>
      </c>
      <c r="F36" s="9" t="s">
        <v>157</v>
      </c>
      <c r="G36" s="11">
        <v>4</v>
      </c>
      <c r="H36" s="12">
        <v>1200000000</v>
      </c>
      <c r="I36" s="13">
        <v>0</v>
      </c>
      <c r="J36" s="12">
        <f t="shared" si="4"/>
        <v>4800000000</v>
      </c>
      <c r="K36" s="46">
        <f t="shared" si="5"/>
        <v>0</v>
      </c>
      <c r="L36" s="62" t="s">
        <v>550</v>
      </c>
    </row>
    <row r="37" spans="1:12" ht="69.95" hidden="1" customHeight="1">
      <c r="A37" s="74" t="s">
        <v>509</v>
      </c>
      <c r="B37" s="47">
        <v>3</v>
      </c>
      <c r="C37" s="60" t="s">
        <v>539</v>
      </c>
      <c r="D37" s="15" t="s">
        <v>159</v>
      </c>
      <c r="E37" s="14" t="s">
        <v>52</v>
      </c>
      <c r="F37" s="14" t="s">
        <v>157</v>
      </c>
      <c r="G37" s="16">
        <v>4</v>
      </c>
      <c r="H37" s="17">
        <v>950000000</v>
      </c>
      <c r="I37" s="18">
        <v>0</v>
      </c>
      <c r="J37" s="17">
        <f t="shared" si="4"/>
        <v>3800000000</v>
      </c>
      <c r="K37" s="48">
        <f t="shared" si="5"/>
        <v>0</v>
      </c>
      <c r="L37" s="62" t="s">
        <v>550</v>
      </c>
    </row>
    <row r="38" spans="1:12" ht="48" hidden="1">
      <c r="A38" s="74" t="s">
        <v>509</v>
      </c>
      <c r="B38" s="45">
        <v>4</v>
      </c>
      <c r="C38" s="60" t="s">
        <v>540</v>
      </c>
      <c r="D38" s="10" t="s">
        <v>160</v>
      </c>
      <c r="E38" s="9" t="s">
        <v>52</v>
      </c>
      <c r="F38" s="9" t="s">
        <v>157</v>
      </c>
      <c r="G38" s="11">
        <v>1</v>
      </c>
      <c r="H38" s="12">
        <v>0</v>
      </c>
      <c r="I38" s="13">
        <v>12300</v>
      </c>
      <c r="J38" s="12">
        <f t="shared" si="4"/>
        <v>0</v>
      </c>
      <c r="K38" s="46">
        <f t="shared" si="5"/>
        <v>12300</v>
      </c>
      <c r="L38" s="62" t="s">
        <v>551</v>
      </c>
    </row>
    <row r="39" spans="1:12" ht="144" hidden="1">
      <c r="A39" s="74" t="s">
        <v>509</v>
      </c>
      <c r="B39" s="47">
        <v>5</v>
      </c>
      <c r="C39" s="14" t="s">
        <v>543</v>
      </c>
      <c r="D39" s="15" t="s">
        <v>161</v>
      </c>
      <c r="E39" s="14" t="s">
        <v>52</v>
      </c>
      <c r="F39" s="14" t="s">
        <v>157</v>
      </c>
      <c r="G39" s="16">
        <v>1</v>
      </c>
      <c r="H39" s="17">
        <v>0</v>
      </c>
      <c r="I39" s="18">
        <v>5200</v>
      </c>
      <c r="J39" s="17">
        <f t="shared" si="4"/>
        <v>0</v>
      </c>
      <c r="K39" s="48">
        <f t="shared" si="5"/>
        <v>5200</v>
      </c>
      <c r="L39" s="62" t="s">
        <v>552</v>
      </c>
    </row>
    <row r="40" spans="1:12" ht="120" hidden="1">
      <c r="A40" s="74" t="s">
        <v>509</v>
      </c>
      <c r="B40" s="45">
        <v>5.0999999999999996</v>
      </c>
      <c r="C40" s="9" t="s">
        <v>544</v>
      </c>
      <c r="D40" s="10" t="s">
        <v>162</v>
      </c>
      <c r="E40" s="9" t="s">
        <v>116</v>
      </c>
      <c r="F40" s="9" t="s">
        <v>157</v>
      </c>
      <c r="G40" s="11">
        <v>1</v>
      </c>
      <c r="H40" s="12">
        <v>0</v>
      </c>
      <c r="I40" s="13">
        <v>49000</v>
      </c>
      <c r="J40" s="12">
        <f t="shared" si="4"/>
        <v>0</v>
      </c>
      <c r="K40" s="46">
        <f t="shared" si="5"/>
        <v>49000</v>
      </c>
      <c r="L40" s="62" t="s">
        <v>553</v>
      </c>
    </row>
    <row r="41" spans="1:12" ht="99" hidden="1" customHeight="1">
      <c r="A41" s="74" t="s">
        <v>509</v>
      </c>
      <c r="B41" s="47">
        <v>6</v>
      </c>
      <c r="C41" s="61" t="s">
        <v>545</v>
      </c>
      <c r="D41" s="15" t="s">
        <v>163</v>
      </c>
      <c r="E41" s="14" t="s">
        <v>52</v>
      </c>
      <c r="F41" s="14" t="s">
        <v>157</v>
      </c>
      <c r="G41" s="16">
        <v>7</v>
      </c>
      <c r="H41" s="17">
        <v>0</v>
      </c>
      <c r="I41" s="18">
        <v>2360</v>
      </c>
      <c r="J41" s="17">
        <f t="shared" si="4"/>
        <v>0</v>
      </c>
      <c r="K41" s="48">
        <f t="shared" si="5"/>
        <v>16520</v>
      </c>
      <c r="L41" s="62" t="s">
        <v>554</v>
      </c>
    </row>
    <row r="42" spans="1:12" ht="69.95" hidden="1" customHeight="1">
      <c r="A42" s="74" t="s">
        <v>509</v>
      </c>
      <c r="B42" s="119">
        <v>7</v>
      </c>
      <c r="C42" s="120" t="s">
        <v>669</v>
      </c>
      <c r="D42" s="121" t="s">
        <v>164</v>
      </c>
      <c r="E42" s="122" t="s">
        <v>52</v>
      </c>
      <c r="F42" s="122" t="s">
        <v>157</v>
      </c>
      <c r="G42" s="123">
        <v>2</v>
      </c>
      <c r="H42" s="124">
        <v>4500000000</v>
      </c>
      <c r="I42" s="125">
        <v>0</v>
      </c>
      <c r="J42" s="124">
        <f t="shared" si="4"/>
        <v>9000000000</v>
      </c>
      <c r="K42" s="126">
        <f t="shared" si="5"/>
        <v>0</v>
      </c>
      <c r="L42" s="127" t="s">
        <v>670</v>
      </c>
    </row>
    <row r="43" spans="1:12" ht="69.95" hidden="1" customHeight="1">
      <c r="A43" s="74" t="s">
        <v>509</v>
      </c>
      <c r="B43" s="47">
        <v>8</v>
      </c>
      <c r="C43" s="61" t="s">
        <v>547</v>
      </c>
      <c r="D43" s="15" t="s">
        <v>165</v>
      </c>
      <c r="E43" s="14" t="s">
        <v>52</v>
      </c>
      <c r="F43" s="14" t="s">
        <v>157</v>
      </c>
      <c r="G43" s="16">
        <v>2</v>
      </c>
      <c r="H43" s="17">
        <v>0</v>
      </c>
      <c r="I43" s="18">
        <v>12300</v>
      </c>
      <c r="J43" s="17">
        <f t="shared" si="4"/>
        <v>0</v>
      </c>
      <c r="K43" s="48">
        <f t="shared" si="5"/>
        <v>24600</v>
      </c>
      <c r="L43" s="62" t="s">
        <v>556</v>
      </c>
    </row>
    <row r="44" spans="1:12" ht="69.95" hidden="1" customHeight="1">
      <c r="A44" s="74" t="s">
        <v>509</v>
      </c>
      <c r="B44" s="45">
        <v>9</v>
      </c>
      <c r="C44" s="9" t="s">
        <v>541</v>
      </c>
      <c r="D44" s="10" t="s">
        <v>166</v>
      </c>
      <c r="E44" s="9" t="s">
        <v>116</v>
      </c>
      <c r="F44" s="9" t="s">
        <v>157</v>
      </c>
      <c r="G44" s="11">
        <v>2</v>
      </c>
      <c r="H44" s="12">
        <v>0</v>
      </c>
      <c r="I44" s="13">
        <v>80000</v>
      </c>
      <c r="J44" s="12">
        <f t="shared" si="4"/>
        <v>0</v>
      </c>
      <c r="K44" s="46">
        <f t="shared" si="5"/>
        <v>160000</v>
      </c>
      <c r="L44" s="62" t="s">
        <v>557</v>
      </c>
    </row>
    <row r="45" spans="1:12" ht="69.95" hidden="1" customHeight="1">
      <c r="A45" s="74" t="s">
        <v>509</v>
      </c>
      <c r="B45" s="47">
        <v>10</v>
      </c>
      <c r="C45" s="14" t="s">
        <v>542</v>
      </c>
      <c r="D45" s="15" t="s">
        <v>167</v>
      </c>
      <c r="E45" s="14" t="s">
        <v>116</v>
      </c>
      <c r="F45" s="14" t="s">
        <v>157</v>
      </c>
      <c r="G45" s="16">
        <v>20000</v>
      </c>
      <c r="H45" s="17">
        <v>0</v>
      </c>
      <c r="I45" s="18">
        <v>10</v>
      </c>
      <c r="J45" s="17">
        <f t="shared" si="4"/>
        <v>0</v>
      </c>
      <c r="K45" s="48">
        <f t="shared" si="5"/>
        <v>200000</v>
      </c>
      <c r="L45" s="62" t="s">
        <v>558</v>
      </c>
    </row>
    <row r="46" spans="1:12" ht="69.95" hidden="1" customHeight="1">
      <c r="A46" s="74" t="s">
        <v>509</v>
      </c>
      <c r="B46" s="45">
        <v>11</v>
      </c>
      <c r="C46" s="9" t="s">
        <v>548</v>
      </c>
      <c r="D46" s="10" t="s">
        <v>168</v>
      </c>
      <c r="E46" s="9" t="s">
        <v>169</v>
      </c>
      <c r="F46" s="9" t="s">
        <v>46</v>
      </c>
      <c r="G46" s="11">
        <v>600</v>
      </c>
      <c r="H46" s="12">
        <v>0</v>
      </c>
      <c r="I46" s="13">
        <v>160</v>
      </c>
      <c r="J46" s="12">
        <f t="shared" si="4"/>
        <v>0</v>
      </c>
      <c r="K46" s="46">
        <f t="shared" si="5"/>
        <v>96000</v>
      </c>
      <c r="L46" s="63" t="s">
        <v>559</v>
      </c>
    </row>
    <row r="47" spans="1:12" ht="69.95" hidden="1" customHeight="1">
      <c r="A47" s="74" t="s">
        <v>509</v>
      </c>
      <c r="B47" s="47">
        <v>12</v>
      </c>
      <c r="C47" s="14" t="s">
        <v>549</v>
      </c>
      <c r="D47" s="15" t="s">
        <v>170</v>
      </c>
      <c r="E47" s="14" t="s">
        <v>73</v>
      </c>
      <c r="F47" s="14" t="s">
        <v>74</v>
      </c>
      <c r="G47" s="16">
        <v>1</v>
      </c>
      <c r="H47" s="17">
        <v>5000000000</v>
      </c>
      <c r="I47" s="18">
        <v>0</v>
      </c>
      <c r="J47" s="17">
        <f t="shared" si="4"/>
        <v>5000000000</v>
      </c>
      <c r="K47" s="48">
        <f t="shared" si="5"/>
        <v>0</v>
      </c>
      <c r="L47" s="37" t="s">
        <v>503</v>
      </c>
    </row>
    <row r="48" spans="1:12" ht="26.1" hidden="1" customHeight="1" thickBot="1">
      <c r="A48" s="77"/>
      <c r="B48" s="395" t="s">
        <v>75</v>
      </c>
      <c r="C48" s="396"/>
      <c r="D48" s="397"/>
      <c r="E48" s="397"/>
      <c r="F48" s="397"/>
      <c r="G48" s="56">
        <f>SUM(G35:G47)</f>
        <v>20629</v>
      </c>
      <c r="H48" s="57"/>
      <c r="I48" s="58"/>
      <c r="J48" s="56">
        <f>SUM(J35:J47)</f>
        <v>28600000000</v>
      </c>
      <c r="K48" s="59">
        <f>SUM(K35:K47)</f>
        <v>563620</v>
      </c>
      <c r="L48" s="35"/>
    </row>
  </sheetData>
  <autoFilter ref="A7:L48" xr:uid="{390D54D3-EB06-4399-B697-DF47DD5699B7}">
    <filterColumn colId="2">
      <filters>
        <filter val="Crane"/>
        <filter val="Overhead Manual Crane"/>
        <filter val="Overhead Manual Crane CR-451 A/B/C"/>
        <filter val="Overhead Manual Crane CR-551 A"/>
      </filters>
    </filterColumn>
  </autoFilter>
  <mergeCells count="10">
    <mergeCell ref="B48:F48"/>
    <mergeCell ref="B3:D3"/>
    <mergeCell ref="B5:K5"/>
    <mergeCell ref="C31:C32"/>
    <mergeCell ref="B1:B2"/>
    <mergeCell ref="D1:D2"/>
    <mergeCell ref="E1:I1"/>
    <mergeCell ref="J1:J2"/>
    <mergeCell ref="K1:K2"/>
    <mergeCell ref="E2:I2"/>
  </mergeCells>
  <hyperlinks>
    <hyperlink ref="B3" location="Dashboard!A1" display="◀ بازگشت به داشبورد" xr:uid="{67C7E049-45B8-4836-8722-E1FAF68C848A}"/>
  </hyperlinks>
  <pageMargins left="0.75" right="0.75" top="1" bottom="1" header="0.5" footer="0.5"/>
  <pageSetup paperSize="9" fitToHeight="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E525-A2C3-48C2-98C3-CAEDC518AAC8}">
  <dimension ref="A1:N26"/>
  <sheetViews>
    <sheetView view="pageLayout" zoomScaleNormal="100" workbookViewId="0">
      <selection activeCell="B27" sqref="B27:K27"/>
    </sheetView>
  </sheetViews>
  <sheetFormatPr defaultRowHeight="15"/>
  <cols>
    <col min="1" max="1" width="2.7109375" style="49" customWidth="1"/>
    <col min="2" max="2" width="5.5703125" style="49" customWidth="1"/>
    <col min="3" max="3" width="25.7109375" style="49" customWidth="1"/>
    <col min="4" max="4" width="9.7109375" style="49" customWidth="1"/>
    <col min="5" max="5" width="10.140625" style="49" bestFit="1" customWidth="1"/>
    <col min="6" max="6" width="9.140625" style="49"/>
    <col min="7" max="7" width="10.140625" style="49" bestFit="1" customWidth="1"/>
    <col min="8" max="8" width="9.140625" style="49"/>
    <col min="9" max="9" width="10.140625" style="49" bestFit="1" customWidth="1"/>
    <col min="10" max="10" width="3.85546875" style="49" customWidth="1"/>
    <col min="11" max="13" width="9.140625" style="49"/>
    <col min="14" max="14" width="9.140625" style="49" customWidth="1"/>
    <col min="15" max="16384" width="9.140625" style="49"/>
  </cols>
  <sheetData>
    <row r="1" spans="1:14" ht="27.95" customHeight="1">
      <c r="A1" s="77"/>
      <c r="B1" s="461"/>
      <c r="C1" s="82"/>
      <c r="D1" s="463" t="s">
        <v>0</v>
      </c>
      <c r="E1" s="463"/>
      <c r="F1" s="463"/>
      <c r="G1" s="463"/>
      <c r="H1" s="463"/>
      <c r="I1" s="463"/>
      <c r="J1" s="463"/>
      <c r="K1" s="450"/>
      <c r="L1" s="35"/>
      <c r="M1" s="35"/>
    </row>
    <row r="2" spans="1:14" ht="27.95" customHeight="1">
      <c r="A2" s="77"/>
      <c r="B2" s="462"/>
      <c r="C2" s="39"/>
      <c r="D2" s="463"/>
      <c r="E2" s="463"/>
      <c r="F2" s="463"/>
      <c r="G2" s="463"/>
      <c r="H2" s="463"/>
      <c r="I2" s="463"/>
      <c r="J2" s="463"/>
      <c r="K2" s="450"/>
      <c r="L2" s="35"/>
      <c r="M2" s="35"/>
    </row>
    <row r="3" spans="1:14" ht="21.95" customHeight="1">
      <c r="A3" s="77"/>
      <c r="B3" s="459" t="s">
        <v>33</v>
      </c>
      <c r="C3" s="459"/>
      <c r="D3" s="460"/>
      <c r="E3" s="52"/>
      <c r="F3" s="52"/>
      <c r="G3" s="53"/>
      <c r="H3" s="53"/>
      <c r="I3" s="53"/>
      <c r="J3" s="53"/>
      <c r="K3" s="3"/>
      <c r="L3" s="35"/>
      <c r="M3" s="35"/>
    </row>
    <row r="4" spans="1:14" ht="15" customHeight="1">
      <c r="A4" s="77"/>
      <c r="B4" s="1"/>
      <c r="C4" s="1"/>
      <c r="D4" s="1"/>
      <c r="E4" s="1"/>
      <c r="F4" s="1"/>
      <c r="G4" s="3"/>
      <c r="H4" s="3"/>
      <c r="I4" s="3"/>
      <c r="J4" s="3"/>
      <c r="K4" s="3"/>
      <c r="L4" s="35"/>
      <c r="M4" s="35"/>
    </row>
    <row r="5" spans="1:14" ht="28.5" customHeight="1">
      <c r="A5" s="77"/>
      <c r="B5" s="451" t="s">
        <v>668</v>
      </c>
      <c r="C5" s="451"/>
      <c r="D5" s="451"/>
      <c r="E5" s="451"/>
      <c r="F5" s="451"/>
      <c r="G5" s="451"/>
      <c r="H5" s="451"/>
      <c r="I5" s="451"/>
      <c r="J5" s="451"/>
      <c r="K5" s="451"/>
      <c r="L5" s="451"/>
      <c r="M5" s="451"/>
      <c r="N5" s="451"/>
    </row>
    <row r="6" spans="1:14" ht="45" customHeight="1">
      <c r="A6" s="77"/>
      <c r="B6" s="117" t="s">
        <v>2</v>
      </c>
      <c r="C6" s="453" t="s">
        <v>671</v>
      </c>
      <c r="D6" s="453"/>
      <c r="E6" s="453"/>
      <c r="F6" s="453" t="s">
        <v>665</v>
      </c>
      <c r="G6" s="453"/>
      <c r="H6" s="453"/>
      <c r="I6" s="453"/>
      <c r="J6" s="453"/>
      <c r="K6" s="453" t="s">
        <v>666</v>
      </c>
      <c r="L6" s="453"/>
      <c r="M6" s="453"/>
      <c r="N6" s="453"/>
    </row>
    <row r="7" spans="1:14" ht="28.7" customHeight="1">
      <c r="A7" s="52"/>
      <c r="B7" s="117">
        <v>1</v>
      </c>
      <c r="C7" s="453" t="s">
        <v>669</v>
      </c>
      <c r="D7" s="453"/>
      <c r="E7" s="453"/>
      <c r="F7" s="454">
        <f>SUM('ANCHOR FLANGE'!J10)</f>
        <v>9000000000</v>
      </c>
      <c r="G7" s="454"/>
      <c r="H7" s="454"/>
      <c r="I7" s="454"/>
      <c r="J7" s="454"/>
      <c r="K7" s="452">
        <f>SUM('ANCHOR FLANGE'!K10)</f>
        <v>0</v>
      </c>
      <c r="L7" s="452"/>
      <c r="M7" s="452"/>
      <c r="N7" s="452"/>
    </row>
    <row r="8" spans="1:14" ht="28.7" customHeight="1">
      <c r="A8" s="52"/>
      <c r="B8" s="117">
        <v>2</v>
      </c>
      <c r="C8" s="453" t="s">
        <v>672</v>
      </c>
      <c r="D8" s="453"/>
      <c r="E8" s="453"/>
      <c r="F8" s="454"/>
      <c r="G8" s="454"/>
      <c r="H8" s="454"/>
      <c r="I8" s="454"/>
      <c r="J8" s="454"/>
      <c r="K8" s="452"/>
      <c r="L8" s="452"/>
      <c r="M8" s="452"/>
      <c r="N8" s="452"/>
    </row>
    <row r="9" spans="1:14" ht="28.7" customHeight="1">
      <c r="A9" s="52"/>
      <c r="B9" s="117">
        <v>3</v>
      </c>
      <c r="C9" s="453"/>
      <c r="D9" s="453"/>
      <c r="E9" s="453"/>
      <c r="F9" s="454"/>
      <c r="G9" s="454"/>
      <c r="H9" s="454"/>
      <c r="I9" s="454"/>
      <c r="J9" s="454"/>
      <c r="K9" s="452"/>
      <c r="L9" s="452"/>
      <c r="M9" s="452"/>
      <c r="N9" s="452"/>
    </row>
    <row r="10" spans="1:14" ht="28.7" customHeight="1">
      <c r="B10" s="117">
        <v>4</v>
      </c>
      <c r="C10" s="453"/>
      <c r="D10" s="453"/>
      <c r="E10" s="453"/>
      <c r="F10" s="454"/>
      <c r="G10" s="454"/>
      <c r="H10" s="454"/>
      <c r="I10" s="454"/>
      <c r="J10" s="454"/>
      <c r="K10" s="452"/>
      <c r="L10" s="452"/>
      <c r="M10" s="452"/>
      <c r="N10" s="452"/>
    </row>
    <row r="11" spans="1:14" ht="28.7" customHeight="1">
      <c r="B11" s="117">
        <v>5</v>
      </c>
      <c r="C11" s="453"/>
      <c r="D11" s="453"/>
      <c r="E11" s="453"/>
      <c r="F11" s="454"/>
      <c r="G11" s="454"/>
      <c r="H11" s="454"/>
      <c r="I11" s="454"/>
      <c r="J11" s="454"/>
      <c r="K11" s="452"/>
      <c r="L11" s="452"/>
      <c r="M11" s="452"/>
      <c r="N11" s="452"/>
    </row>
    <row r="12" spans="1:14" ht="28.7" customHeight="1">
      <c r="B12" s="117">
        <v>6</v>
      </c>
      <c r="C12" s="453"/>
      <c r="D12" s="453"/>
      <c r="E12" s="453"/>
      <c r="F12" s="454"/>
      <c r="G12" s="454"/>
      <c r="H12" s="454"/>
      <c r="I12" s="454"/>
      <c r="J12" s="454"/>
      <c r="K12" s="452"/>
      <c r="L12" s="452"/>
      <c r="M12" s="452"/>
      <c r="N12" s="452"/>
    </row>
    <row r="13" spans="1:14" ht="28.7" customHeight="1">
      <c r="B13" s="117">
        <v>7</v>
      </c>
      <c r="C13" s="453"/>
      <c r="D13" s="453"/>
      <c r="E13" s="453"/>
      <c r="F13" s="454"/>
      <c r="G13" s="454"/>
      <c r="H13" s="454"/>
      <c r="I13" s="454"/>
      <c r="J13" s="454"/>
      <c r="K13" s="452"/>
      <c r="L13" s="452"/>
      <c r="M13" s="452"/>
      <c r="N13" s="452"/>
    </row>
    <row r="14" spans="1:14" ht="28.7" customHeight="1">
      <c r="B14" s="117">
        <v>8</v>
      </c>
      <c r="C14" s="453"/>
      <c r="D14" s="453"/>
      <c r="E14" s="453"/>
      <c r="F14" s="454"/>
      <c r="G14" s="454"/>
      <c r="H14" s="454"/>
      <c r="I14" s="454"/>
      <c r="J14" s="454"/>
      <c r="K14" s="452"/>
      <c r="L14" s="452"/>
      <c r="M14" s="452"/>
      <c r="N14" s="452"/>
    </row>
    <row r="15" spans="1:14" ht="22.5">
      <c r="B15" s="117">
        <v>9</v>
      </c>
      <c r="C15" s="453"/>
      <c r="D15" s="453"/>
      <c r="E15" s="453"/>
      <c r="F15" s="454"/>
      <c r="G15" s="454"/>
      <c r="H15" s="454"/>
      <c r="I15" s="454"/>
      <c r="J15" s="454"/>
      <c r="K15" s="452"/>
      <c r="L15" s="452"/>
      <c r="M15" s="452"/>
      <c r="N15" s="452"/>
    </row>
    <row r="16" spans="1:14" ht="22.5">
      <c r="B16" s="117">
        <v>10</v>
      </c>
      <c r="C16" s="453"/>
      <c r="D16" s="453"/>
      <c r="E16" s="453"/>
      <c r="F16" s="454"/>
      <c r="G16" s="454"/>
      <c r="H16" s="454"/>
      <c r="I16" s="454"/>
      <c r="J16" s="454"/>
      <c r="K16" s="452"/>
      <c r="L16" s="452"/>
      <c r="M16" s="452"/>
      <c r="N16" s="452"/>
    </row>
    <row r="17" spans="2:14" ht="22.5">
      <c r="B17" s="117">
        <v>11</v>
      </c>
      <c r="C17" s="453"/>
      <c r="D17" s="453"/>
      <c r="E17" s="453"/>
      <c r="F17" s="454"/>
      <c r="G17" s="454"/>
      <c r="H17" s="454"/>
      <c r="I17" s="454"/>
      <c r="J17" s="454"/>
      <c r="K17" s="452"/>
      <c r="L17" s="452"/>
      <c r="M17" s="452"/>
      <c r="N17" s="452"/>
    </row>
    <row r="18" spans="2:14" ht="22.5">
      <c r="B18" s="117">
        <v>12</v>
      </c>
      <c r="C18" s="453"/>
      <c r="D18" s="453"/>
      <c r="E18" s="453"/>
      <c r="F18" s="454"/>
      <c r="G18" s="454"/>
      <c r="H18" s="454"/>
      <c r="I18" s="454"/>
      <c r="J18" s="454"/>
      <c r="K18" s="452"/>
      <c r="L18" s="452"/>
      <c r="M18" s="452"/>
      <c r="N18" s="452"/>
    </row>
    <row r="19" spans="2:14" ht="22.5">
      <c r="B19" s="117">
        <v>13</v>
      </c>
      <c r="C19" s="453"/>
      <c r="D19" s="453"/>
      <c r="E19" s="453"/>
      <c r="F19" s="454"/>
      <c r="G19" s="454"/>
      <c r="H19" s="454"/>
      <c r="I19" s="454"/>
      <c r="J19" s="454"/>
      <c r="K19" s="452"/>
      <c r="L19" s="452"/>
      <c r="M19" s="452"/>
      <c r="N19" s="452"/>
    </row>
    <row r="20" spans="2:14" ht="22.5">
      <c r="B20" s="117">
        <v>14</v>
      </c>
      <c r="C20" s="453"/>
      <c r="D20" s="453"/>
      <c r="E20" s="453"/>
      <c r="F20" s="454"/>
      <c r="G20" s="454"/>
      <c r="H20" s="454"/>
      <c r="I20" s="454"/>
      <c r="J20" s="454"/>
      <c r="K20" s="452"/>
      <c r="L20" s="452"/>
      <c r="M20" s="452"/>
      <c r="N20" s="452"/>
    </row>
    <row r="21" spans="2:14" ht="22.5">
      <c r="B21" s="117">
        <v>15</v>
      </c>
      <c r="C21" s="453"/>
      <c r="D21" s="453"/>
      <c r="E21" s="453"/>
      <c r="F21" s="454"/>
      <c r="G21" s="454"/>
      <c r="H21" s="454"/>
      <c r="I21" s="454"/>
      <c r="J21" s="454"/>
      <c r="K21" s="452"/>
      <c r="L21" s="452"/>
      <c r="M21" s="452"/>
      <c r="N21" s="452"/>
    </row>
    <row r="22" spans="2:14" ht="24">
      <c r="B22" s="464" t="s">
        <v>667</v>
      </c>
      <c r="C22" s="464"/>
      <c r="D22" s="464"/>
      <c r="E22" s="464"/>
      <c r="F22" s="456">
        <f>SUM(F7:G14)</f>
        <v>9000000000</v>
      </c>
      <c r="G22" s="456"/>
      <c r="H22" s="456"/>
      <c r="I22" s="456"/>
      <c r="J22" s="456"/>
      <c r="K22" s="483">
        <f>SUM(K7:N14)</f>
        <v>0</v>
      </c>
      <c r="L22" s="483"/>
      <c r="M22" s="483"/>
      <c r="N22" s="483"/>
    </row>
    <row r="23" spans="2:14">
      <c r="C23" s="457"/>
      <c r="D23" s="457"/>
      <c r="E23" s="457"/>
      <c r="F23" s="457"/>
      <c r="G23" s="457"/>
      <c r="H23" s="457"/>
      <c r="I23" s="457"/>
      <c r="J23" s="457"/>
      <c r="K23" s="457"/>
    </row>
    <row r="24" spans="2:14">
      <c r="C24" s="457"/>
      <c r="D24" s="457"/>
      <c r="E24" s="457"/>
      <c r="F24" s="457"/>
      <c r="G24" s="457"/>
      <c r="H24" s="457"/>
      <c r="I24" s="457"/>
      <c r="J24" s="457"/>
      <c r="K24" s="457"/>
    </row>
    <row r="25" spans="2:14">
      <c r="C25" s="457"/>
      <c r="D25" s="457"/>
      <c r="E25" s="457"/>
      <c r="F25" s="457"/>
      <c r="G25" s="457"/>
      <c r="H25" s="457"/>
      <c r="I25" s="457"/>
      <c r="J25" s="457"/>
      <c r="K25" s="457"/>
    </row>
    <row r="26" spans="2:14">
      <c r="C26" s="457"/>
      <c r="D26" s="457"/>
      <c r="E26" s="457"/>
      <c r="F26" s="457"/>
      <c r="G26" s="457"/>
      <c r="H26" s="457"/>
      <c r="I26" s="457"/>
      <c r="J26" s="457"/>
      <c r="K26" s="457"/>
    </row>
  </sheetData>
  <mergeCells count="68">
    <mergeCell ref="C6:E6"/>
    <mergeCell ref="F6:J6"/>
    <mergeCell ref="K6:N6"/>
    <mergeCell ref="B1:B2"/>
    <mergeCell ref="D1:J2"/>
    <mergeCell ref="K1:K2"/>
    <mergeCell ref="B3:D3"/>
    <mergeCell ref="B5:N5"/>
    <mergeCell ref="C7:E7"/>
    <mergeCell ref="F7:J7"/>
    <mergeCell ref="K7:N7"/>
    <mergeCell ref="C8:E8"/>
    <mergeCell ref="F8:J8"/>
    <mergeCell ref="K8:N8"/>
    <mergeCell ref="C9:E9"/>
    <mergeCell ref="F9:J9"/>
    <mergeCell ref="K9:N9"/>
    <mergeCell ref="C10:E10"/>
    <mergeCell ref="F10:J10"/>
    <mergeCell ref="K10:N10"/>
    <mergeCell ref="C11:E11"/>
    <mergeCell ref="F11:J11"/>
    <mergeCell ref="K11:N11"/>
    <mergeCell ref="C12:E12"/>
    <mergeCell ref="F12:J12"/>
    <mergeCell ref="K12:N12"/>
    <mergeCell ref="C15:E15"/>
    <mergeCell ref="C13:E13"/>
    <mergeCell ref="F13:J13"/>
    <mergeCell ref="K13:N13"/>
    <mergeCell ref="C14:E14"/>
    <mergeCell ref="F14:J14"/>
    <mergeCell ref="K14:N14"/>
    <mergeCell ref="C16:E16"/>
    <mergeCell ref="C17:E17"/>
    <mergeCell ref="B22:E22"/>
    <mergeCell ref="F22:J22"/>
    <mergeCell ref="K22:N22"/>
    <mergeCell ref="C18:E18"/>
    <mergeCell ref="C19:E19"/>
    <mergeCell ref="K18:N18"/>
    <mergeCell ref="F19:J19"/>
    <mergeCell ref="K19:N19"/>
    <mergeCell ref="C23:E23"/>
    <mergeCell ref="F23:H23"/>
    <mergeCell ref="I23:K23"/>
    <mergeCell ref="C20:E20"/>
    <mergeCell ref="C21:E21"/>
    <mergeCell ref="F20:J20"/>
    <mergeCell ref="K20:N20"/>
    <mergeCell ref="F21:J21"/>
    <mergeCell ref="K21:N21"/>
    <mergeCell ref="C26:E26"/>
    <mergeCell ref="F26:H26"/>
    <mergeCell ref="I26:K26"/>
    <mergeCell ref="F15:J15"/>
    <mergeCell ref="K15:N15"/>
    <mergeCell ref="F16:J16"/>
    <mergeCell ref="K16:N16"/>
    <mergeCell ref="F17:J17"/>
    <mergeCell ref="K17:N17"/>
    <mergeCell ref="F18:J18"/>
    <mergeCell ref="C24:E24"/>
    <mergeCell ref="F24:H24"/>
    <mergeCell ref="I24:K24"/>
    <mergeCell ref="C25:E25"/>
    <mergeCell ref="F25:H25"/>
    <mergeCell ref="I25:K25"/>
  </mergeCells>
  <hyperlinks>
    <hyperlink ref="B3" location="Dashboard!A1" display="◀ بازگشت به داشبورد" xr:uid="{4DA8E4A1-7E7B-4A29-95AA-47761092A1B8}"/>
  </hyperlinks>
  <printOptions horizontalCentered="1"/>
  <pageMargins left="0.1" right="0.1" top="0.1" bottom="0.1" header="0.1" footer="0.1"/>
  <pageSetup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BEA85-C18D-46BC-867F-2383D739D186}">
  <sheetPr codeName="Sheet19">
    <tabColor theme="3"/>
    <pageSetUpPr fitToPage="1"/>
  </sheetPr>
  <dimension ref="A1:M11"/>
  <sheetViews>
    <sheetView showGridLines="0" zoomScale="70" zoomScaleNormal="70" workbookViewId="0">
      <selection activeCell="B27" sqref="B27:K27"/>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33.5703125" style="55" customWidth="1"/>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113</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661</v>
      </c>
      <c r="B7" s="467"/>
      <c r="C7" s="467"/>
      <c r="D7" s="467"/>
      <c r="E7" s="467"/>
      <c r="F7" s="467"/>
      <c r="G7" s="467"/>
      <c r="H7" s="467"/>
      <c r="I7" s="467"/>
      <c r="J7" s="467"/>
      <c r="K7" s="467"/>
      <c r="L7" s="467"/>
      <c r="M7" s="468"/>
    </row>
    <row r="8" spans="1:13" ht="33">
      <c r="A8" s="71" t="s">
        <v>506</v>
      </c>
      <c r="B8" s="43" t="s">
        <v>35</v>
      </c>
      <c r="C8" s="34" t="s">
        <v>393</v>
      </c>
      <c r="D8" s="34" t="s">
        <v>523</v>
      </c>
      <c r="E8" s="34" t="s">
        <v>37</v>
      </c>
      <c r="F8" s="34" t="s">
        <v>38</v>
      </c>
      <c r="G8" s="34" t="s">
        <v>39</v>
      </c>
      <c r="H8" s="34" t="s">
        <v>40</v>
      </c>
      <c r="I8" s="34" t="s">
        <v>41</v>
      </c>
      <c r="J8" s="34" t="s">
        <v>42</v>
      </c>
      <c r="K8" s="44" t="s">
        <v>43</v>
      </c>
      <c r="L8" s="96" t="s">
        <v>480</v>
      </c>
    </row>
    <row r="9" spans="1:13" ht="48">
      <c r="A9" s="74" t="str">
        <f>'Mechanicalتجمعی '!A42</f>
        <v>تجهیزات مکانیکال خط لوله ۱۶ اینچ رفسنجان-یزد</v>
      </c>
      <c r="B9" s="45">
        <f>'Mechanicalتجمعی '!B42</f>
        <v>7</v>
      </c>
      <c r="C9" s="118" t="str">
        <f>'Mechanicalتجمعی '!C42</f>
        <v>ANCHOR FLANGE</v>
      </c>
      <c r="D9" s="10" t="str">
        <f>'Mechanicalتجمعی '!D42</f>
        <v>ANCHOR FLANGE 16" 900#, ASTM 694 F60, PUP PIECES</v>
      </c>
      <c r="E9" s="9" t="str">
        <f>'Mechanicalتجمعی '!E42</f>
        <v>16"</v>
      </c>
      <c r="F9" s="9" t="str">
        <f>'Mechanicalتجمعی '!F42</f>
        <v>No.</v>
      </c>
      <c r="G9" s="11">
        <f>'Mechanicalتجمعی '!G42</f>
        <v>2</v>
      </c>
      <c r="H9" s="12">
        <f>'Mechanicalتجمعی '!H42</f>
        <v>4500000000</v>
      </c>
      <c r="I9" s="13">
        <f>'Mechanicalتجمعی '!I42</f>
        <v>0</v>
      </c>
      <c r="J9" s="12">
        <f>'Mechanicalتجمعی '!J42</f>
        <v>9000000000</v>
      </c>
      <c r="K9" s="46">
        <f>'Mechanicalتجمعی '!K42</f>
        <v>0</v>
      </c>
      <c r="L9" s="62" t="str">
        <f>'Mechanicalتجمعی '!L42</f>
        <v>ASTM 694 F60, PUP PIECES, ACCORDING TO ATTACHMENT 18 OF CONTRACT</v>
      </c>
    </row>
    <row r="10" spans="1:13" ht="24.75" thickBot="1">
      <c r="A10" s="75"/>
      <c r="B10" s="395" t="s">
        <v>75</v>
      </c>
      <c r="C10" s="396"/>
      <c r="D10" s="397"/>
      <c r="E10" s="397"/>
      <c r="F10" s="397"/>
      <c r="G10" s="56"/>
      <c r="H10" s="57"/>
      <c r="I10" s="58"/>
      <c r="J10" s="56">
        <f>SUM(J8:J9)</f>
        <v>9000000000</v>
      </c>
      <c r="K10" s="59">
        <f>SUM(K8:K9)</f>
        <v>0</v>
      </c>
    </row>
    <row r="11" spans="1:13" ht="24.75" thickTop="1"/>
  </sheetData>
  <mergeCells count="10">
    <mergeCell ref="B10:F10"/>
    <mergeCell ref="B3:D3"/>
    <mergeCell ref="B5:K5"/>
    <mergeCell ref="A7:M7"/>
    <mergeCell ref="B1:B2"/>
    <mergeCell ref="D1:D2"/>
    <mergeCell ref="E1:I1"/>
    <mergeCell ref="J1:J2"/>
    <mergeCell ref="K1:K2"/>
    <mergeCell ref="E2:I2"/>
  </mergeCells>
  <hyperlinks>
    <hyperlink ref="B3" location="Dashboard!A1" display="◀ بازگشت به داشبورد" xr:uid="{65C48A98-9360-4247-967B-4214A4EE25A2}"/>
  </hyperlinks>
  <pageMargins left="0.75" right="0.75" top="1" bottom="1" header="0.5" footer="0.5"/>
  <pageSetup paperSize="9" fitToHeight="0"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09E4-8A9E-4FB4-B0C3-5749199A6F2F}">
  <sheetPr codeName="Sheet20">
    <tabColor theme="3"/>
    <pageSetUpPr fitToPage="1"/>
  </sheetPr>
  <dimension ref="A1:M9"/>
  <sheetViews>
    <sheetView showGridLines="0" zoomScale="70" zoomScaleNormal="70" workbookViewId="0">
      <selection activeCell="B27" sqref="B27:K27"/>
    </sheetView>
  </sheetViews>
  <sheetFormatPr defaultRowHeight="24"/>
  <cols>
    <col min="1" max="1" width="47.140625" style="76" customWidth="1"/>
    <col min="2" max="2" width="8" style="49" customWidth="1"/>
    <col min="3" max="3" width="14.85546875" style="49" customWidth="1"/>
    <col min="4" max="4" width="65" style="49" customWidth="1"/>
    <col min="5" max="5" width="12" style="49" customWidth="1"/>
    <col min="6" max="6" width="10" style="49" customWidth="1"/>
    <col min="7" max="7" width="12" style="2" customWidth="1"/>
    <col min="8" max="9" width="20" style="2" customWidth="1"/>
    <col min="10" max="11" width="22" style="2" customWidth="1"/>
    <col min="12" max="12" width="33.5703125" style="55" customWidth="1"/>
    <col min="13" max="13" width="37.7109375" style="55" customWidth="1"/>
    <col min="14" max="16384" width="9.140625" style="49"/>
  </cols>
  <sheetData>
    <row r="1" spans="1:13" ht="27.95" customHeight="1">
      <c r="A1" s="77"/>
      <c r="B1" s="398"/>
      <c r="C1" s="38"/>
      <c r="D1" s="315"/>
      <c r="E1" s="447" t="s">
        <v>0</v>
      </c>
      <c r="F1" s="448"/>
      <c r="G1" s="448"/>
      <c r="H1" s="448"/>
      <c r="I1" s="448"/>
      <c r="J1" s="449"/>
      <c r="K1" s="413"/>
      <c r="L1" s="35"/>
    </row>
    <row r="2" spans="1:13" ht="27.95" customHeight="1" thickBot="1">
      <c r="A2" s="77"/>
      <c r="B2" s="399"/>
      <c r="C2" s="39"/>
      <c r="D2" s="316"/>
      <c r="E2" s="327" t="s">
        <v>113</v>
      </c>
      <c r="F2" s="328"/>
      <c r="G2" s="328"/>
      <c r="H2" s="328"/>
      <c r="I2" s="329"/>
      <c r="J2" s="450"/>
      <c r="K2" s="414"/>
      <c r="L2" s="35"/>
    </row>
    <row r="3" spans="1:13" ht="21.95" customHeight="1" thickBot="1">
      <c r="A3" s="77"/>
      <c r="B3" s="381" t="s">
        <v>33</v>
      </c>
      <c r="C3" s="382"/>
      <c r="D3" s="383"/>
      <c r="E3" s="52"/>
      <c r="F3" s="52"/>
      <c r="G3" s="53"/>
      <c r="H3" s="53"/>
      <c r="I3" s="53"/>
      <c r="J3" s="53"/>
      <c r="K3" s="40"/>
      <c r="L3" s="35"/>
    </row>
    <row r="4" spans="1:13" ht="15" customHeight="1">
      <c r="A4" s="77"/>
      <c r="B4" s="41"/>
      <c r="C4" s="1"/>
      <c r="D4" s="1"/>
      <c r="E4" s="1"/>
      <c r="F4" s="1"/>
      <c r="G4" s="3"/>
      <c r="H4" s="3"/>
      <c r="I4" s="3"/>
      <c r="J4" s="3"/>
      <c r="K4" s="40"/>
      <c r="L4" s="35"/>
    </row>
    <row r="5" spans="1:13" ht="26.1" customHeight="1">
      <c r="A5" s="77"/>
      <c r="B5" s="336"/>
      <c r="C5" s="469"/>
      <c r="D5" s="470"/>
      <c r="E5" s="470"/>
      <c r="F5" s="470"/>
      <c r="G5" s="470"/>
      <c r="H5" s="470"/>
      <c r="I5" s="470"/>
      <c r="J5" s="470"/>
      <c r="K5" s="471"/>
      <c r="L5" s="35"/>
    </row>
    <row r="6" spans="1:13" ht="18" customHeight="1" thickBot="1">
      <c r="A6" s="77"/>
      <c r="B6" s="42"/>
      <c r="C6" s="52"/>
      <c r="D6" s="52"/>
      <c r="E6" s="52"/>
      <c r="F6" s="52"/>
      <c r="G6" s="53"/>
      <c r="H6" s="53"/>
      <c r="I6" s="53"/>
      <c r="J6" s="53"/>
      <c r="K6" s="54"/>
      <c r="L6" s="35"/>
    </row>
    <row r="7" spans="1:13" ht="24.75" thickBot="1">
      <c r="A7" s="466" t="s">
        <v>673</v>
      </c>
      <c r="B7" s="467"/>
      <c r="C7" s="467"/>
      <c r="D7" s="467"/>
      <c r="E7" s="467"/>
      <c r="F7" s="467"/>
      <c r="G7" s="467"/>
      <c r="H7" s="467"/>
      <c r="I7" s="467"/>
      <c r="J7" s="467"/>
      <c r="K7" s="467"/>
      <c r="L7" s="467"/>
      <c r="M7" s="468"/>
    </row>
    <row r="8" spans="1:13" ht="33">
      <c r="A8" s="71" t="str">
        <f>'Mechanicalتجمعی '!A7</f>
        <v>unit</v>
      </c>
      <c r="B8" s="43" t="str">
        <f>'Mechanicalتجمعی '!B7</f>
        <v>ردیف (Item)</v>
      </c>
      <c r="C8" s="34" t="str">
        <f>'Mechanicalتجمعی '!C7</f>
        <v>عنوان</v>
      </c>
      <c r="D8" s="34" t="str">
        <f>'Mechanicalتجمعی '!D7</f>
        <v>شرح تجهیزات (Description) خلاصه</v>
      </c>
      <c r="E8" s="34" t="str">
        <f>'Mechanicalتجمعی '!E7</f>
        <v>سایز (Size)</v>
      </c>
      <c r="F8" s="34" t="str">
        <f>'Mechanicalتجمعی '!F7</f>
        <v>واحد (Unit)</v>
      </c>
      <c r="G8" s="34" t="str">
        <f>'Mechanicalتجمعی '!G7</f>
        <v>مقدار (Qty)</v>
      </c>
      <c r="H8" s="34" t="str">
        <f>'Mechanicalتجمعی '!H7</f>
        <v>بهای واحد ریالی (Unit Rial)</v>
      </c>
      <c r="I8" s="34" t="str">
        <f>'Mechanicalتجمعی '!I7</f>
        <v>بهای واحد ارزی (Unit Euro)</v>
      </c>
      <c r="J8" s="34" t="str">
        <f>'Mechanicalتجمعی '!J7</f>
        <v>بهای کل ریالی (Total Rial)</v>
      </c>
      <c r="K8" s="44" t="str">
        <f>'Mechanicalتجمعی '!K7</f>
        <v>بهای کل ارزی (Total Euro)</v>
      </c>
      <c r="L8" s="96" t="str">
        <f>'Mechanicalتجمعی '!L7</f>
        <v>توضیحات پیمان</v>
      </c>
    </row>
    <row r="9" spans="1:13" ht="150">
      <c r="A9" s="74" t="str">
        <f>'Mechanicalتجمعی '!A41</f>
        <v>تجهیزات مکانیکال خط لوله ۱۶ اینچ رفسنجان-یزد</v>
      </c>
      <c r="B9" s="47">
        <f>'Mechanicalتجمعی '!B41</f>
        <v>6</v>
      </c>
      <c r="C9" s="61" t="str">
        <f>'Mechanicalتجمعی '!C41</f>
        <v>BLOCK VALVE</v>
      </c>
      <c r="D9" s="15" t="str">
        <f>'Mechanicalتجمعی '!D41</f>
        <v>900# 16" BLOCK VALVE, BW, PUP PIECES, GEAR OP. WITH CONNECTION TO HYDRAULIC POWER PACKAGE</v>
      </c>
      <c r="E9" s="14" t="str">
        <f>'Mechanicalتجمعی '!E41</f>
        <v>16"</v>
      </c>
      <c r="F9" s="14" t="str">
        <f>'Mechanicalتجمعی '!F41</f>
        <v>No.</v>
      </c>
      <c r="G9" s="16">
        <f>'Mechanicalتجمعی '!G41</f>
        <v>7</v>
      </c>
      <c r="H9" s="17">
        <f>'Mechanicalتجمعی '!H41</f>
        <v>0</v>
      </c>
      <c r="I9" s="18">
        <f>'Mechanicalتجمعی '!I41</f>
        <v>2360</v>
      </c>
      <c r="J9" s="17">
        <f>'Mechanicalتجمعی '!J41</f>
        <v>0</v>
      </c>
      <c r="K9" s="48">
        <f>'Mechanicalتجمعی '!K41</f>
        <v>16520</v>
      </c>
      <c r="L9" s="62" t="str">
        <f>'Mechanicalتجمعی '!L41</f>
        <v>THROUGH CONDUIT, EXTENDED STEM,  BB, BG, OS&amp;Y, ASTM A216 WCB/A105/A516GR.70, TRIM: 13%Cr/STL6, BW , PUP PIECES, GEAR OP., WITH LOCKING DEVICES, WITH CONNECTIONS AND FACILITIES FOR CONNECTING TO HYDRAULIC POWER PACKAGE ACCORDING TO ATTACHMENT 18 OF CONTRACT, API 6D</v>
      </c>
    </row>
  </sheetData>
  <mergeCells count="9">
    <mergeCell ref="B3:D3"/>
    <mergeCell ref="B5:K5"/>
    <mergeCell ref="A7:M7"/>
    <mergeCell ref="B1:B2"/>
    <mergeCell ref="D1:D2"/>
    <mergeCell ref="E1:I1"/>
    <mergeCell ref="J1:J2"/>
    <mergeCell ref="K1:K2"/>
    <mergeCell ref="E2:I2"/>
  </mergeCells>
  <hyperlinks>
    <hyperlink ref="B3" location="Dashboard!A1" display="◀ بازگشت به داشبورد" xr:uid="{218051BC-2A8D-46CD-B72A-6530C86ECF66}"/>
  </hyperlinks>
  <pageMargins left="0.75" right="0.75" top="1" bottom="1" header="0.5" footer="0.5"/>
  <pageSetup paperSize="9" fitToHeight="0"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39BD-0339-4BA3-B118-4F4F4832870B}">
  <sheetPr>
    <pageSetUpPr fitToPage="1"/>
  </sheetPr>
  <dimension ref="A1:F11"/>
  <sheetViews>
    <sheetView rightToLeft="1" view="pageBreakPreview" zoomScale="25" zoomScaleNormal="85" zoomScaleSheetLayoutView="25" workbookViewId="0">
      <selection activeCell="X8" sqref="X8"/>
    </sheetView>
  </sheetViews>
  <sheetFormatPr defaultRowHeight="15"/>
  <cols>
    <col min="1" max="1" width="19.57031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83"/>
      <c r="C1" s="283"/>
      <c r="D1" s="283"/>
      <c r="E1" s="283"/>
      <c r="F1" s="284"/>
    </row>
    <row r="2" spans="1:6" ht="45" customHeight="1">
      <c r="A2" s="285"/>
      <c r="B2" s="286"/>
      <c r="C2" s="286"/>
      <c r="D2" s="286"/>
      <c r="E2" s="286"/>
      <c r="F2" s="287"/>
    </row>
    <row r="3" spans="1:6" ht="37.5" customHeight="1" thickBot="1">
      <c r="A3" s="285"/>
      <c r="B3" s="286"/>
      <c r="C3" s="286"/>
      <c r="D3" s="286"/>
      <c r="E3" s="286"/>
      <c r="F3" s="287"/>
    </row>
    <row r="4" spans="1:6" ht="307.5" customHeight="1">
      <c r="A4" s="285"/>
      <c r="B4" s="364" t="s">
        <v>759</v>
      </c>
      <c r="C4" s="365"/>
      <c r="D4" s="365"/>
      <c r="E4" s="366"/>
      <c r="F4" s="287"/>
    </row>
    <row r="5" spans="1:6" ht="409.6" customHeight="1">
      <c r="A5" s="285"/>
      <c r="B5" s="367"/>
      <c r="C5" s="368"/>
      <c r="D5" s="368"/>
      <c r="E5" s="369"/>
      <c r="F5" s="287"/>
    </row>
    <row r="6" spans="1:6" ht="165.75" customHeight="1">
      <c r="A6" s="285"/>
      <c r="B6" s="367"/>
      <c r="C6" s="368"/>
      <c r="D6" s="368"/>
      <c r="E6" s="369"/>
      <c r="F6" s="287"/>
    </row>
    <row r="7" spans="1:6" ht="321.75" customHeight="1">
      <c r="A7" s="285"/>
      <c r="B7" s="367"/>
      <c r="C7" s="368"/>
      <c r="D7" s="368"/>
      <c r="E7" s="369"/>
      <c r="F7" s="287"/>
    </row>
    <row r="8" spans="1:6" ht="370.5" customHeight="1">
      <c r="A8" s="285"/>
      <c r="B8" s="367"/>
      <c r="C8" s="368"/>
      <c r="D8" s="368"/>
      <c r="E8" s="369"/>
      <c r="F8" s="287"/>
    </row>
    <row r="9" spans="1:6" ht="204.75" customHeight="1">
      <c r="A9" s="285"/>
      <c r="B9" s="367"/>
      <c r="C9" s="368"/>
      <c r="D9" s="368"/>
      <c r="E9" s="369"/>
      <c r="F9" s="287"/>
    </row>
    <row r="10" spans="1:6" ht="189.75" customHeight="1" thickBot="1">
      <c r="A10" s="285"/>
      <c r="B10" s="370"/>
      <c r="C10" s="371"/>
      <c r="D10" s="371"/>
      <c r="E10" s="372"/>
      <c r="F10" s="287"/>
    </row>
    <row r="11" spans="1:6" ht="135.75" customHeight="1" thickBot="1">
      <c r="A11" s="288"/>
      <c r="B11" s="289"/>
      <c r="C11" s="289"/>
      <c r="D11" s="289"/>
      <c r="E11" s="289"/>
      <c r="F11" s="290"/>
    </row>
  </sheetData>
  <mergeCells count="1">
    <mergeCell ref="B4:E10"/>
  </mergeCells>
  <printOptions horizontalCentered="1" verticalCentered="1"/>
  <pageMargins left="0.1" right="0.1" top="0.1" bottom="0.1" header="0.1" footer="0.1"/>
  <pageSetup paperSize="8" scale="36"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pageSetUpPr fitToPage="1"/>
  </sheetPr>
  <dimension ref="A1:L56"/>
  <sheetViews>
    <sheetView showGridLines="0" view="pageBreakPreview" topLeftCell="A16" zoomScale="60" zoomScaleNormal="55" workbookViewId="0">
      <selection activeCell="S50" sqref="S50"/>
    </sheetView>
  </sheetViews>
  <sheetFormatPr defaultRowHeight="24"/>
  <cols>
    <col min="1" max="1" width="34.42578125" style="76" customWidth="1"/>
    <col min="2" max="2" width="8" customWidth="1"/>
    <col min="3" max="3" width="15.42578125" customWidth="1"/>
    <col min="4" max="4" width="65" customWidth="1"/>
    <col min="5" max="5" width="12" style="4" customWidth="1"/>
    <col min="6" max="6" width="10" style="4" customWidth="1"/>
    <col min="7" max="7" width="12" style="4" customWidth="1"/>
    <col min="8" max="9" width="20" style="4" customWidth="1"/>
    <col min="10" max="11" width="22" style="4" customWidth="1"/>
    <col min="12" max="12" width="50.7109375" style="70" customWidth="1"/>
  </cols>
  <sheetData>
    <row r="1" spans="1:12" ht="27.95" customHeight="1">
      <c r="A1" s="137"/>
      <c r="B1" s="492"/>
      <c r="C1" s="38"/>
      <c r="D1" s="315"/>
      <c r="E1" s="326" t="s">
        <v>0</v>
      </c>
      <c r="F1" s="484"/>
      <c r="G1" s="484"/>
      <c r="H1" s="484"/>
      <c r="I1" s="484"/>
      <c r="J1" s="484"/>
      <c r="K1" s="484"/>
      <c r="L1" s="193"/>
    </row>
    <row r="2" spans="1:12" ht="27.95" customHeight="1" thickBot="1">
      <c r="A2" s="140"/>
      <c r="B2" s="462"/>
      <c r="C2" s="163"/>
      <c r="D2" s="316"/>
      <c r="E2" s="327" t="s">
        <v>171</v>
      </c>
      <c r="F2" s="489"/>
      <c r="G2" s="489"/>
      <c r="H2" s="489"/>
      <c r="I2" s="490"/>
      <c r="J2" s="458"/>
      <c r="K2" s="458"/>
      <c r="L2" s="194"/>
    </row>
    <row r="3" spans="1:12" ht="21.95" customHeight="1" thickBot="1">
      <c r="A3" s="140"/>
      <c r="B3" s="491" t="s">
        <v>33</v>
      </c>
      <c r="C3" s="382"/>
      <c r="D3" s="383"/>
      <c r="E3" s="162"/>
      <c r="F3" s="162"/>
      <c r="G3" s="162"/>
      <c r="H3" s="162"/>
      <c r="I3" s="162"/>
      <c r="J3" s="162"/>
      <c r="K3" s="5"/>
      <c r="L3" s="194"/>
    </row>
    <row r="4" spans="1:12" ht="15" customHeight="1" thickBot="1">
      <c r="A4" s="140"/>
      <c r="B4" s="1"/>
      <c r="C4" s="1"/>
      <c r="D4" s="1"/>
      <c r="E4" s="5"/>
      <c r="F4" s="5"/>
      <c r="G4" s="5"/>
      <c r="H4" s="5"/>
      <c r="I4" s="5"/>
      <c r="J4" s="5"/>
      <c r="K4" s="5"/>
      <c r="L4" s="194"/>
    </row>
    <row r="5" spans="1:12" ht="26.1" customHeight="1">
      <c r="A5" s="140"/>
      <c r="B5" s="485" t="s">
        <v>172</v>
      </c>
      <c r="C5" s="486"/>
      <c r="D5" s="487"/>
      <c r="E5" s="487"/>
      <c r="F5" s="487"/>
      <c r="G5" s="487"/>
      <c r="H5" s="487"/>
      <c r="I5" s="487"/>
      <c r="J5" s="487"/>
      <c r="K5" s="488"/>
      <c r="L5" s="194"/>
    </row>
    <row r="6" spans="1:12" ht="18" customHeight="1" thickBot="1">
      <c r="A6" s="140"/>
      <c r="B6" s="42"/>
      <c r="C6" s="160"/>
      <c r="D6" s="160"/>
      <c r="E6" s="162"/>
      <c r="F6" s="162"/>
      <c r="G6" s="162"/>
      <c r="H6" s="162"/>
      <c r="I6" s="162"/>
      <c r="J6" s="162"/>
      <c r="K6" s="67"/>
      <c r="L6" s="194"/>
    </row>
    <row r="7" spans="1:12" ht="27.95" customHeight="1">
      <c r="A7" s="190" t="s">
        <v>506</v>
      </c>
      <c r="B7" s="43" t="s">
        <v>35</v>
      </c>
      <c r="C7" s="149" t="s">
        <v>393</v>
      </c>
      <c r="D7" s="149" t="s">
        <v>523</v>
      </c>
      <c r="E7" s="149" t="s">
        <v>37</v>
      </c>
      <c r="F7" s="149" t="s">
        <v>38</v>
      </c>
      <c r="G7" s="149" t="s">
        <v>39</v>
      </c>
      <c r="H7" s="149" t="s">
        <v>40</v>
      </c>
      <c r="I7" s="149" t="s">
        <v>41</v>
      </c>
      <c r="J7" s="149" t="s">
        <v>42</v>
      </c>
      <c r="K7" s="150" t="s">
        <v>43</v>
      </c>
      <c r="L7" s="195" t="s">
        <v>480</v>
      </c>
    </row>
    <row r="8" spans="1:12" ht="54.95" customHeight="1">
      <c r="A8" s="196" t="s">
        <v>560</v>
      </c>
      <c r="B8" s="45">
        <v>1</v>
      </c>
      <c r="C8" s="26" t="s">
        <v>433</v>
      </c>
      <c r="D8" s="10" t="s">
        <v>173</v>
      </c>
      <c r="E8" s="9" t="s">
        <v>174</v>
      </c>
      <c r="F8" s="9" t="s">
        <v>175</v>
      </c>
      <c r="G8" s="11">
        <v>2640</v>
      </c>
      <c r="H8" s="12">
        <v>18593925</v>
      </c>
      <c r="I8" s="13">
        <v>0</v>
      </c>
      <c r="J8" s="12">
        <f t="shared" ref="J8:J22" si="0">G8*H8</f>
        <v>49087962000</v>
      </c>
      <c r="K8" s="46">
        <f t="shared" ref="K8:K22" si="1">G8*I8</f>
        <v>0</v>
      </c>
      <c r="L8" s="197" t="s">
        <v>437</v>
      </c>
    </row>
    <row r="9" spans="1:12" ht="54.95" customHeight="1">
      <c r="A9" s="196" t="s">
        <v>560</v>
      </c>
      <c r="B9" s="47">
        <v>2</v>
      </c>
      <c r="C9" s="26" t="s">
        <v>433</v>
      </c>
      <c r="D9" s="15" t="s">
        <v>176</v>
      </c>
      <c r="E9" s="14" t="s">
        <v>177</v>
      </c>
      <c r="F9" s="14" t="s">
        <v>175</v>
      </c>
      <c r="G9" s="16">
        <v>3000</v>
      </c>
      <c r="H9" s="17">
        <v>47751847</v>
      </c>
      <c r="I9" s="18">
        <v>0</v>
      </c>
      <c r="J9" s="17">
        <f t="shared" si="0"/>
        <v>143255541000</v>
      </c>
      <c r="K9" s="48">
        <f t="shared" si="1"/>
        <v>0</v>
      </c>
      <c r="L9" s="197" t="s">
        <v>438</v>
      </c>
    </row>
    <row r="10" spans="1:12" ht="54.95" customHeight="1">
      <c r="A10" s="196" t="s">
        <v>560</v>
      </c>
      <c r="B10" s="45">
        <v>3</v>
      </c>
      <c r="C10" s="26" t="s">
        <v>433</v>
      </c>
      <c r="D10" s="10" t="s">
        <v>178</v>
      </c>
      <c r="E10" s="9" t="s">
        <v>179</v>
      </c>
      <c r="F10" s="9" t="s">
        <v>175</v>
      </c>
      <c r="G10" s="11">
        <v>10</v>
      </c>
      <c r="H10" s="12">
        <v>48521462</v>
      </c>
      <c r="I10" s="13">
        <v>0</v>
      </c>
      <c r="J10" s="12">
        <f t="shared" si="0"/>
        <v>485214620</v>
      </c>
      <c r="K10" s="46">
        <f t="shared" si="1"/>
        <v>0</v>
      </c>
      <c r="L10" s="197" t="s">
        <v>439</v>
      </c>
    </row>
    <row r="11" spans="1:12" ht="54.95" customHeight="1">
      <c r="A11" s="196" t="s">
        <v>560</v>
      </c>
      <c r="B11" s="47">
        <v>4</v>
      </c>
      <c r="C11" s="26" t="s">
        <v>433</v>
      </c>
      <c r="D11" s="15" t="s">
        <v>180</v>
      </c>
      <c r="E11" s="14" t="s">
        <v>177</v>
      </c>
      <c r="F11" s="14" t="s">
        <v>175</v>
      </c>
      <c r="G11" s="16">
        <v>300</v>
      </c>
      <c r="H11" s="17">
        <v>42988010</v>
      </c>
      <c r="I11" s="18">
        <v>0</v>
      </c>
      <c r="J11" s="17">
        <f t="shared" si="0"/>
        <v>12896403000</v>
      </c>
      <c r="K11" s="48">
        <f t="shared" si="1"/>
        <v>0</v>
      </c>
      <c r="L11" s="197" t="s">
        <v>440</v>
      </c>
    </row>
    <row r="12" spans="1:12" ht="54.95" customHeight="1">
      <c r="A12" s="196" t="s">
        <v>560</v>
      </c>
      <c r="B12" s="45">
        <v>5</v>
      </c>
      <c r="C12" s="26" t="s">
        <v>433</v>
      </c>
      <c r="D12" s="10" t="s">
        <v>181</v>
      </c>
      <c r="E12" s="9" t="s">
        <v>182</v>
      </c>
      <c r="F12" s="9" t="s">
        <v>175</v>
      </c>
      <c r="G12" s="11">
        <v>6420</v>
      </c>
      <c r="H12" s="12">
        <v>14066860</v>
      </c>
      <c r="I12" s="13">
        <v>0</v>
      </c>
      <c r="J12" s="12">
        <f t="shared" si="0"/>
        <v>90309241200</v>
      </c>
      <c r="K12" s="46">
        <f t="shared" si="1"/>
        <v>0</v>
      </c>
      <c r="L12" s="197" t="s">
        <v>440</v>
      </c>
    </row>
    <row r="13" spans="1:12" ht="54.95" customHeight="1">
      <c r="A13" s="196" t="s">
        <v>560</v>
      </c>
      <c r="B13" s="47">
        <v>6</v>
      </c>
      <c r="C13" s="26" t="s">
        <v>433</v>
      </c>
      <c r="D13" s="15" t="s">
        <v>183</v>
      </c>
      <c r="E13" s="14" t="s">
        <v>184</v>
      </c>
      <c r="F13" s="14" t="s">
        <v>175</v>
      </c>
      <c r="G13" s="16">
        <v>1040</v>
      </c>
      <c r="H13" s="17">
        <v>25214719</v>
      </c>
      <c r="I13" s="18">
        <v>0</v>
      </c>
      <c r="J13" s="17">
        <f t="shared" si="0"/>
        <v>26223307760</v>
      </c>
      <c r="K13" s="48">
        <f t="shared" si="1"/>
        <v>0</v>
      </c>
      <c r="L13" s="197" t="s">
        <v>441</v>
      </c>
    </row>
    <row r="14" spans="1:12" ht="54.95" customHeight="1">
      <c r="A14" s="196" t="s">
        <v>560</v>
      </c>
      <c r="B14" s="45">
        <v>7</v>
      </c>
      <c r="C14" s="26" t="s">
        <v>434</v>
      </c>
      <c r="D14" s="10" t="s">
        <v>185</v>
      </c>
      <c r="E14" s="9" t="s">
        <v>186</v>
      </c>
      <c r="F14" s="9" t="s">
        <v>187</v>
      </c>
      <c r="G14" s="11">
        <v>1</v>
      </c>
      <c r="H14" s="12">
        <v>0</v>
      </c>
      <c r="I14" s="13">
        <v>229240</v>
      </c>
      <c r="J14" s="12">
        <f t="shared" si="0"/>
        <v>0</v>
      </c>
      <c r="K14" s="46">
        <f t="shared" si="1"/>
        <v>229240</v>
      </c>
      <c r="L14" s="198" t="s">
        <v>442</v>
      </c>
    </row>
    <row r="15" spans="1:12" ht="54.95" customHeight="1">
      <c r="A15" s="196" t="s">
        <v>560</v>
      </c>
      <c r="B15" s="47">
        <v>8</v>
      </c>
      <c r="C15" s="26" t="s">
        <v>434</v>
      </c>
      <c r="D15" s="15" t="s">
        <v>188</v>
      </c>
      <c r="E15" s="14" t="s">
        <v>189</v>
      </c>
      <c r="F15" s="14" t="s">
        <v>187</v>
      </c>
      <c r="G15" s="16">
        <v>1</v>
      </c>
      <c r="H15" s="17">
        <v>161176517420</v>
      </c>
      <c r="I15" s="18">
        <v>0</v>
      </c>
      <c r="J15" s="17">
        <f t="shared" si="0"/>
        <v>161176517420</v>
      </c>
      <c r="K15" s="48">
        <f t="shared" si="1"/>
        <v>0</v>
      </c>
      <c r="L15" s="198" t="s">
        <v>443</v>
      </c>
    </row>
    <row r="16" spans="1:12" ht="54.95" customHeight="1">
      <c r="A16" s="196" t="s">
        <v>560</v>
      </c>
      <c r="B16" s="45">
        <v>9</v>
      </c>
      <c r="C16" s="26" t="s">
        <v>434</v>
      </c>
      <c r="D16" s="10" t="s">
        <v>190</v>
      </c>
      <c r="E16" s="9" t="s">
        <v>189</v>
      </c>
      <c r="F16" s="9" t="s">
        <v>187</v>
      </c>
      <c r="G16" s="11">
        <v>2</v>
      </c>
      <c r="H16" s="12">
        <v>0</v>
      </c>
      <c r="I16" s="13">
        <v>56620</v>
      </c>
      <c r="J16" s="12">
        <f t="shared" si="0"/>
        <v>0</v>
      </c>
      <c r="K16" s="46">
        <f t="shared" si="1"/>
        <v>113240</v>
      </c>
      <c r="L16" s="198" t="s">
        <v>444</v>
      </c>
    </row>
    <row r="17" spans="1:12" ht="54.95" customHeight="1">
      <c r="A17" s="196" t="s">
        <v>560</v>
      </c>
      <c r="B17" s="47">
        <v>10</v>
      </c>
      <c r="C17" s="26" t="s">
        <v>434</v>
      </c>
      <c r="D17" s="15" t="s">
        <v>191</v>
      </c>
      <c r="E17" s="14" t="s">
        <v>192</v>
      </c>
      <c r="F17" s="14" t="s">
        <v>187</v>
      </c>
      <c r="G17" s="16">
        <v>1</v>
      </c>
      <c r="H17" s="17">
        <v>0</v>
      </c>
      <c r="I17" s="18">
        <v>605220</v>
      </c>
      <c r="J17" s="17">
        <f t="shared" si="0"/>
        <v>0</v>
      </c>
      <c r="K17" s="48">
        <f t="shared" si="1"/>
        <v>605220</v>
      </c>
      <c r="L17" s="198" t="s">
        <v>445</v>
      </c>
    </row>
    <row r="18" spans="1:12" ht="54.95" customHeight="1">
      <c r="A18" s="196" t="s">
        <v>560</v>
      </c>
      <c r="B18" s="45">
        <v>11</v>
      </c>
      <c r="C18" s="26" t="s">
        <v>434</v>
      </c>
      <c r="D18" s="10" t="s">
        <v>193</v>
      </c>
      <c r="E18" s="9" t="s">
        <v>194</v>
      </c>
      <c r="F18" s="9" t="s">
        <v>187</v>
      </c>
      <c r="G18" s="11">
        <v>1</v>
      </c>
      <c r="H18" s="12">
        <v>0</v>
      </c>
      <c r="I18" s="13">
        <v>2190</v>
      </c>
      <c r="J18" s="12">
        <f t="shared" si="0"/>
        <v>0</v>
      </c>
      <c r="K18" s="46">
        <f t="shared" si="1"/>
        <v>2190</v>
      </c>
      <c r="L18" s="198" t="s">
        <v>446</v>
      </c>
    </row>
    <row r="19" spans="1:12" ht="54.95" customHeight="1">
      <c r="A19" s="196" t="s">
        <v>560</v>
      </c>
      <c r="B19" s="47">
        <v>12</v>
      </c>
      <c r="C19" s="26" t="s">
        <v>435</v>
      </c>
      <c r="D19" s="15" t="s">
        <v>195</v>
      </c>
      <c r="E19" s="14" t="s">
        <v>196</v>
      </c>
      <c r="F19" s="14" t="s">
        <v>197</v>
      </c>
      <c r="G19" s="16">
        <v>2</v>
      </c>
      <c r="H19" s="17">
        <v>0</v>
      </c>
      <c r="I19" s="18">
        <v>13700</v>
      </c>
      <c r="J19" s="17">
        <f t="shared" si="0"/>
        <v>0</v>
      </c>
      <c r="K19" s="48">
        <f t="shared" si="1"/>
        <v>27400</v>
      </c>
      <c r="L19" s="198" t="s">
        <v>447</v>
      </c>
    </row>
    <row r="20" spans="1:12" ht="54.95" customHeight="1">
      <c r="A20" s="196" t="s">
        <v>560</v>
      </c>
      <c r="B20" s="45">
        <v>13</v>
      </c>
      <c r="C20" s="26" t="s">
        <v>436</v>
      </c>
      <c r="D20" s="10" t="s">
        <v>198</v>
      </c>
      <c r="E20" s="9" t="s">
        <v>199</v>
      </c>
      <c r="F20" s="9" t="s">
        <v>187</v>
      </c>
      <c r="G20" s="11">
        <v>1</v>
      </c>
      <c r="H20" s="12">
        <v>0</v>
      </c>
      <c r="I20" s="13">
        <v>42000</v>
      </c>
      <c r="J20" s="12">
        <f t="shared" si="0"/>
        <v>0</v>
      </c>
      <c r="K20" s="46">
        <f t="shared" si="1"/>
        <v>42000</v>
      </c>
      <c r="L20" s="198" t="s">
        <v>448</v>
      </c>
    </row>
    <row r="21" spans="1:12" ht="54.95" customHeight="1">
      <c r="A21" s="196" t="s">
        <v>560</v>
      </c>
      <c r="B21" s="47">
        <v>14</v>
      </c>
      <c r="C21" s="26" t="s">
        <v>436</v>
      </c>
      <c r="D21" s="15" t="s">
        <v>200</v>
      </c>
      <c r="E21" s="14" t="s">
        <v>201</v>
      </c>
      <c r="F21" s="14" t="s">
        <v>187</v>
      </c>
      <c r="G21" s="16">
        <v>1</v>
      </c>
      <c r="H21" s="17">
        <v>0</v>
      </c>
      <c r="I21" s="18">
        <v>146000</v>
      </c>
      <c r="J21" s="17">
        <f t="shared" si="0"/>
        <v>0</v>
      </c>
      <c r="K21" s="48">
        <f t="shared" si="1"/>
        <v>146000</v>
      </c>
      <c r="L21" s="198" t="s">
        <v>449</v>
      </c>
    </row>
    <row r="22" spans="1:12" ht="54.95" customHeight="1">
      <c r="A22" s="196" t="s">
        <v>560</v>
      </c>
      <c r="B22" s="45">
        <v>15</v>
      </c>
      <c r="C22" s="9" t="s">
        <v>432</v>
      </c>
      <c r="D22" s="10" t="s">
        <v>202</v>
      </c>
      <c r="E22" s="9" t="s">
        <v>73</v>
      </c>
      <c r="F22" s="9" t="s">
        <v>131</v>
      </c>
      <c r="G22" s="11">
        <v>1</v>
      </c>
      <c r="H22" s="12">
        <v>0</v>
      </c>
      <c r="I22" s="13">
        <v>6000</v>
      </c>
      <c r="J22" s="12">
        <f t="shared" si="0"/>
        <v>0</v>
      </c>
      <c r="K22" s="46">
        <f t="shared" si="1"/>
        <v>6000</v>
      </c>
      <c r="L22" s="198" t="s">
        <v>503</v>
      </c>
    </row>
    <row r="23" spans="1:12" ht="26.1" customHeight="1" thickBot="1">
      <c r="A23" s="140"/>
      <c r="B23" s="395" t="s">
        <v>75</v>
      </c>
      <c r="C23" s="396"/>
      <c r="D23" s="397"/>
      <c r="E23" s="397"/>
      <c r="F23" s="397"/>
      <c r="G23" s="56">
        <f>SUM(G8:G22)</f>
        <v>13421</v>
      </c>
      <c r="H23" s="57"/>
      <c r="I23" s="58"/>
      <c r="J23" s="56">
        <f>SUM(J8:J22)</f>
        <v>483434187000</v>
      </c>
      <c r="K23" s="59">
        <f>SUM(K8:K22)</f>
        <v>1171290</v>
      </c>
      <c r="L23" s="194"/>
    </row>
    <row r="24" spans="1:12" ht="24.75" thickBot="1">
      <c r="A24" s="140"/>
      <c r="B24" s="160"/>
      <c r="C24" s="160"/>
      <c r="D24" s="160"/>
      <c r="E24" s="162"/>
      <c r="F24" s="162"/>
      <c r="G24" s="162"/>
      <c r="H24" s="162"/>
      <c r="I24" s="162"/>
      <c r="J24" s="162"/>
      <c r="K24" s="162"/>
      <c r="L24" s="194"/>
    </row>
    <row r="25" spans="1:12" ht="24.75" hidden="1" thickBot="1">
      <c r="A25" s="140"/>
      <c r="B25" s="42"/>
      <c r="C25" s="160"/>
      <c r="D25" s="160"/>
      <c r="E25" s="162"/>
      <c r="F25" s="162"/>
      <c r="G25" s="162"/>
      <c r="H25" s="162"/>
      <c r="I25" s="162"/>
      <c r="J25" s="162"/>
      <c r="K25" s="67"/>
      <c r="L25" s="194"/>
    </row>
    <row r="26" spans="1:12" ht="24.75" hidden="1" thickBot="1">
      <c r="A26" s="140"/>
      <c r="B26" s="42"/>
      <c r="C26" s="160"/>
      <c r="D26" s="160"/>
      <c r="E26" s="162"/>
      <c r="F26" s="162"/>
      <c r="G26" s="162"/>
      <c r="H26" s="162"/>
      <c r="I26" s="162"/>
      <c r="J26" s="162"/>
      <c r="K26" s="67"/>
      <c r="L26" s="194"/>
    </row>
    <row r="27" spans="1:12" ht="38.25" customHeight="1">
      <c r="A27" s="137"/>
      <c r="B27" s="485" t="s">
        <v>203</v>
      </c>
      <c r="C27" s="486"/>
      <c r="D27" s="487"/>
      <c r="E27" s="487"/>
      <c r="F27" s="487"/>
      <c r="G27" s="487"/>
      <c r="H27" s="487"/>
      <c r="I27" s="487"/>
      <c r="J27" s="487"/>
      <c r="K27" s="488"/>
      <c r="L27" s="193"/>
    </row>
    <row r="28" spans="1:12" ht="18" customHeight="1" thickBot="1">
      <c r="A28" s="140"/>
      <c r="B28" s="42"/>
      <c r="C28" s="160"/>
      <c r="D28" s="160"/>
      <c r="E28" s="162"/>
      <c r="F28" s="162"/>
      <c r="G28" s="162"/>
      <c r="H28" s="162"/>
      <c r="I28" s="162"/>
      <c r="J28" s="162"/>
      <c r="K28" s="67"/>
      <c r="L28" s="194"/>
    </row>
    <row r="29" spans="1:12" ht="27.95" customHeight="1">
      <c r="A29" s="190" t="s">
        <v>506</v>
      </c>
      <c r="B29" s="68" t="s">
        <v>35</v>
      </c>
      <c r="C29" s="65" t="s">
        <v>393</v>
      </c>
      <c r="D29" s="65" t="s">
        <v>523</v>
      </c>
      <c r="E29" s="64" t="s">
        <v>37</v>
      </c>
      <c r="F29" s="64" t="s">
        <v>38</v>
      </c>
      <c r="G29" s="64" t="s">
        <v>39</v>
      </c>
      <c r="H29" s="64" t="s">
        <v>40</v>
      </c>
      <c r="I29" s="64" t="s">
        <v>41</v>
      </c>
      <c r="J29" s="64" t="s">
        <v>42</v>
      </c>
      <c r="K29" s="69" t="s">
        <v>43</v>
      </c>
      <c r="L29" s="199" t="s">
        <v>480</v>
      </c>
    </row>
    <row r="30" spans="1:12" ht="54" customHeight="1">
      <c r="A30" s="200" t="s">
        <v>561</v>
      </c>
      <c r="B30" s="45">
        <v>1</v>
      </c>
      <c r="C30" s="26" t="s">
        <v>433</v>
      </c>
      <c r="D30" s="10" t="s">
        <v>204</v>
      </c>
      <c r="E30" s="9" t="s">
        <v>182</v>
      </c>
      <c r="F30" s="9" t="s">
        <v>175</v>
      </c>
      <c r="G30" s="11">
        <v>5890</v>
      </c>
      <c r="H30" s="12">
        <v>14000000</v>
      </c>
      <c r="I30" s="13">
        <v>0</v>
      </c>
      <c r="J30" s="12">
        <f t="shared" ref="J30:J45" si="2">G30*H30</f>
        <v>82460000000</v>
      </c>
      <c r="K30" s="46">
        <f t="shared" ref="K30:K45" si="3">G30*I30</f>
        <v>0</v>
      </c>
      <c r="L30" s="197" t="s">
        <v>562</v>
      </c>
    </row>
    <row r="31" spans="1:12" ht="54" customHeight="1">
      <c r="A31" s="200" t="s">
        <v>561</v>
      </c>
      <c r="B31" s="47">
        <v>2</v>
      </c>
      <c r="C31" s="26" t="s">
        <v>433</v>
      </c>
      <c r="D31" s="15" t="s">
        <v>205</v>
      </c>
      <c r="E31" s="14" t="s">
        <v>206</v>
      </c>
      <c r="F31" s="14" t="s">
        <v>175</v>
      </c>
      <c r="G31" s="16">
        <v>880</v>
      </c>
      <c r="H31" s="17">
        <v>17900000</v>
      </c>
      <c r="I31" s="18">
        <v>0</v>
      </c>
      <c r="J31" s="17">
        <f t="shared" si="2"/>
        <v>15752000000</v>
      </c>
      <c r="K31" s="48">
        <f t="shared" si="3"/>
        <v>0</v>
      </c>
      <c r="L31" s="197" t="s">
        <v>563</v>
      </c>
    </row>
    <row r="32" spans="1:12" ht="54" customHeight="1">
      <c r="A32" s="200" t="s">
        <v>561</v>
      </c>
      <c r="B32" s="45">
        <v>3</v>
      </c>
      <c r="C32" s="26" t="s">
        <v>433</v>
      </c>
      <c r="D32" s="10" t="s">
        <v>207</v>
      </c>
      <c r="E32" s="9" t="s">
        <v>208</v>
      </c>
      <c r="F32" s="9" t="s">
        <v>175</v>
      </c>
      <c r="G32" s="11">
        <v>360</v>
      </c>
      <c r="H32" s="12">
        <v>6100000</v>
      </c>
      <c r="I32" s="13">
        <v>0</v>
      </c>
      <c r="J32" s="12">
        <f t="shared" si="2"/>
        <v>2196000000</v>
      </c>
      <c r="K32" s="46">
        <f t="shared" si="3"/>
        <v>0</v>
      </c>
      <c r="L32" s="197" t="s">
        <v>564</v>
      </c>
    </row>
    <row r="33" spans="1:12" ht="54" customHeight="1">
      <c r="A33" s="200" t="s">
        <v>561</v>
      </c>
      <c r="B33" s="47">
        <v>4</v>
      </c>
      <c r="C33" s="26" t="s">
        <v>433</v>
      </c>
      <c r="D33" s="15" t="s">
        <v>209</v>
      </c>
      <c r="E33" s="14" t="s">
        <v>184</v>
      </c>
      <c r="F33" s="14" t="s">
        <v>175</v>
      </c>
      <c r="G33" s="16">
        <v>360</v>
      </c>
      <c r="H33" s="17">
        <v>25500000</v>
      </c>
      <c r="I33" s="18">
        <v>0</v>
      </c>
      <c r="J33" s="17">
        <f t="shared" si="2"/>
        <v>9180000000</v>
      </c>
      <c r="K33" s="48">
        <f t="shared" si="3"/>
        <v>0</v>
      </c>
      <c r="L33" s="197" t="s">
        <v>563</v>
      </c>
    </row>
    <row r="34" spans="1:12" ht="54" customHeight="1">
      <c r="A34" s="200" t="s">
        <v>561</v>
      </c>
      <c r="B34" s="45">
        <v>5</v>
      </c>
      <c r="C34" s="26" t="s">
        <v>433</v>
      </c>
      <c r="D34" s="10" t="s">
        <v>210</v>
      </c>
      <c r="E34" s="9" t="s">
        <v>179</v>
      </c>
      <c r="F34" s="9" t="s">
        <v>175</v>
      </c>
      <c r="G34" s="11">
        <v>440</v>
      </c>
      <c r="H34" s="12">
        <v>48000000</v>
      </c>
      <c r="I34" s="13">
        <v>0</v>
      </c>
      <c r="J34" s="12">
        <f t="shared" si="2"/>
        <v>21120000000</v>
      </c>
      <c r="K34" s="46">
        <f t="shared" si="3"/>
        <v>0</v>
      </c>
      <c r="L34" s="197" t="s">
        <v>565</v>
      </c>
    </row>
    <row r="35" spans="1:12" ht="54" customHeight="1">
      <c r="A35" s="200" t="s">
        <v>561</v>
      </c>
      <c r="B35" s="47">
        <v>6</v>
      </c>
      <c r="C35" s="26" t="s">
        <v>433</v>
      </c>
      <c r="D35" s="15" t="s">
        <v>211</v>
      </c>
      <c r="E35" s="14" t="s">
        <v>212</v>
      </c>
      <c r="F35" s="14" t="s">
        <v>175</v>
      </c>
      <c r="G35" s="16">
        <v>780</v>
      </c>
      <c r="H35" s="17">
        <v>7500000</v>
      </c>
      <c r="I35" s="18">
        <v>0</v>
      </c>
      <c r="J35" s="17">
        <f t="shared" si="2"/>
        <v>5850000000</v>
      </c>
      <c r="K35" s="48">
        <f t="shared" si="3"/>
        <v>0</v>
      </c>
      <c r="L35" s="197" t="s">
        <v>565</v>
      </c>
    </row>
    <row r="36" spans="1:12" ht="54" customHeight="1">
      <c r="A36" s="200" t="s">
        <v>561</v>
      </c>
      <c r="B36" s="45">
        <v>7</v>
      </c>
      <c r="C36" s="26" t="s">
        <v>433</v>
      </c>
      <c r="D36" s="10" t="s">
        <v>213</v>
      </c>
      <c r="E36" s="9" t="s">
        <v>212</v>
      </c>
      <c r="F36" s="9" t="s">
        <v>175</v>
      </c>
      <c r="G36" s="11">
        <v>450</v>
      </c>
      <c r="H36" s="12">
        <v>11100000</v>
      </c>
      <c r="I36" s="13">
        <v>0</v>
      </c>
      <c r="J36" s="12">
        <f t="shared" si="2"/>
        <v>4995000000</v>
      </c>
      <c r="K36" s="46">
        <f t="shared" si="3"/>
        <v>0</v>
      </c>
      <c r="L36" s="197" t="s">
        <v>566</v>
      </c>
    </row>
    <row r="37" spans="1:12" ht="54" customHeight="1">
      <c r="A37" s="200" t="s">
        <v>561</v>
      </c>
      <c r="B37" s="47">
        <v>8</v>
      </c>
      <c r="C37" s="26" t="s">
        <v>434</v>
      </c>
      <c r="D37" s="15" t="s">
        <v>214</v>
      </c>
      <c r="E37" s="14" t="s">
        <v>186</v>
      </c>
      <c r="F37" s="14" t="s">
        <v>187</v>
      </c>
      <c r="G37" s="16">
        <v>1</v>
      </c>
      <c r="H37" s="17">
        <v>0</v>
      </c>
      <c r="I37" s="18">
        <v>255000</v>
      </c>
      <c r="J37" s="17">
        <f t="shared" si="2"/>
        <v>0</v>
      </c>
      <c r="K37" s="48">
        <f t="shared" si="3"/>
        <v>255000</v>
      </c>
      <c r="L37" s="197" t="s">
        <v>567</v>
      </c>
    </row>
    <row r="38" spans="1:12" ht="54" customHeight="1">
      <c r="A38" s="200" t="s">
        <v>561</v>
      </c>
      <c r="B38" s="45">
        <v>9</v>
      </c>
      <c r="C38" s="26" t="s">
        <v>434</v>
      </c>
      <c r="D38" s="10" t="s">
        <v>215</v>
      </c>
      <c r="E38" s="9" t="s">
        <v>186</v>
      </c>
      <c r="F38" s="9" t="s">
        <v>187</v>
      </c>
      <c r="G38" s="11">
        <v>1</v>
      </c>
      <c r="H38" s="12">
        <v>0</v>
      </c>
      <c r="I38" s="13">
        <v>53000</v>
      </c>
      <c r="J38" s="12">
        <f t="shared" si="2"/>
        <v>0</v>
      </c>
      <c r="K38" s="46">
        <f t="shared" si="3"/>
        <v>53000</v>
      </c>
      <c r="L38" s="198" t="s">
        <v>568</v>
      </c>
    </row>
    <row r="39" spans="1:12" ht="54" customHeight="1">
      <c r="A39" s="200" t="s">
        <v>561</v>
      </c>
      <c r="B39" s="47">
        <v>10</v>
      </c>
      <c r="C39" s="156" t="s">
        <v>434</v>
      </c>
      <c r="D39" s="15" t="s">
        <v>216</v>
      </c>
      <c r="E39" s="14" t="s">
        <v>189</v>
      </c>
      <c r="F39" s="14" t="s">
        <v>187</v>
      </c>
      <c r="G39" s="16">
        <v>1</v>
      </c>
      <c r="H39" s="17">
        <v>0</v>
      </c>
      <c r="I39" s="18">
        <v>98000</v>
      </c>
      <c r="J39" s="17">
        <f t="shared" si="2"/>
        <v>0</v>
      </c>
      <c r="K39" s="48">
        <f t="shared" si="3"/>
        <v>98000</v>
      </c>
      <c r="L39" s="198" t="s">
        <v>569</v>
      </c>
    </row>
    <row r="40" spans="1:12" ht="54" customHeight="1">
      <c r="A40" s="200" t="s">
        <v>561</v>
      </c>
      <c r="B40" s="45">
        <v>11</v>
      </c>
      <c r="C40" s="26" t="s">
        <v>434</v>
      </c>
      <c r="D40" s="10" t="s">
        <v>217</v>
      </c>
      <c r="E40" s="9" t="s">
        <v>192</v>
      </c>
      <c r="F40" s="9" t="s">
        <v>187</v>
      </c>
      <c r="G40" s="11">
        <v>1</v>
      </c>
      <c r="H40" s="12">
        <v>0</v>
      </c>
      <c r="I40" s="13">
        <v>98000</v>
      </c>
      <c r="J40" s="12">
        <f t="shared" si="2"/>
        <v>0</v>
      </c>
      <c r="K40" s="46">
        <f t="shared" si="3"/>
        <v>98000</v>
      </c>
      <c r="L40" s="198" t="s">
        <v>570</v>
      </c>
    </row>
    <row r="41" spans="1:12" ht="54" customHeight="1">
      <c r="A41" s="200" t="s">
        <v>561</v>
      </c>
      <c r="B41" s="47">
        <v>12</v>
      </c>
      <c r="C41" s="26" t="s">
        <v>435</v>
      </c>
      <c r="D41" s="15" t="s">
        <v>218</v>
      </c>
      <c r="E41" s="14" t="s">
        <v>219</v>
      </c>
      <c r="F41" s="14" t="s">
        <v>197</v>
      </c>
      <c r="G41" s="16">
        <v>2</v>
      </c>
      <c r="H41" s="17">
        <v>0</v>
      </c>
      <c r="I41" s="18">
        <v>14000</v>
      </c>
      <c r="J41" s="17">
        <f t="shared" si="2"/>
        <v>0</v>
      </c>
      <c r="K41" s="48">
        <f t="shared" si="3"/>
        <v>28000</v>
      </c>
      <c r="L41" s="198" t="s">
        <v>571</v>
      </c>
    </row>
    <row r="42" spans="1:12" ht="54" customHeight="1">
      <c r="A42" s="200" t="s">
        <v>561</v>
      </c>
      <c r="B42" s="47">
        <v>16</v>
      </c>
      <c r="C42" s="66" t="s">
        <v>572</v>
      </c>
      <c r="D42" s="15" t="s">
        <v>574</v>
      </c>
      <c r="E42" s="14" t="s">
        <v>116</v>
      </c>
      <c r="F42" s="14" t="s">
        <v>152</v>
      </c>
      <c r="G42" s="16">
        <v>1</v>
      </c>
      <c r="H42" s="17">
        <v>12000000000</v>
      </c>
      <c r="I42" s="18">
        <v>0</v>
      </c>
      <c r="J42" s="17">
        <f>G42*H42</f>
        <v>12000000000</v>
      </c>
      <c r="K42" s="48">
        <f>G42*I42</f>
        <v>0</v>
      </c>
      <c r="L42" s="201" t="s">
        <v>582</v>
      </c>
    </row>
    <row r="43" spans="1:12" ht="54" customHeight="1">
      <c r="A43" s="200" t="s">
        <v>561</v>
      </c>
      <c r="B43" s="45">
        <v>13</v>
      </c>
      <c r="C43" s="66" t="s">
        <v>436</v>
      </c>
      <c r="D43" s="10" t="s">
        <v>220</v>
      </c>
      <c r="E43" s="9" t="s">
        <v>199</v>
      </c>
      <c r="F43" s="9" t="s">
        <v>187</v>
      </c>
      <c r="G43" s="11">
        <v>1</v>
      </c>
      <c r="H43" s="12">
        <v>0</v>
      </c>
      <c r="I43" s="13">
        <v>42000</v>
      </c>
      <c r="J43" s="12">
        <f t="shared" si="2"/>
        <v>0</v>
      </c>
      <c r="K43" s="46">
        <f t="shared" si="3"/>
        <v>42000</v>
      </c>
      <c r="L43" s="201" t="s">
        <v>583</v>
      </c>
    </row>
    <row r="44" spans="1:12" ht="54" customHeight="1">
      <c r="A44" s="200" t="s">
        <v>561</v>
      </c>
      <c r="B44" s="47">
        <v>14</v>
      </c>
      <c r="C44" s="66" t="s">
        <v>436</v>
      </c>
      <c r="D44" s="15" t="s">
        <v>221</v>
      </c>
      <c r="E44" s="14" t="s">
        <v>201</v>
      </c>
      <c r="F44" s="14" t="s">
        <v>187</v>
      </c>
      <c r="G44" s="16">
        <v>1</v>
      </c>
      <c r="H44" s="17">
        <v>0</v>
      </c>
      <c r="I44" s="18">
        <v>146000</v>
      </c>
      <c r="J44" s="17">
        <f t="shared" si="2"/>
        <v>0</v>
      </c>
      <c r="K44" s="48">
        <f t="shared" si="3"/>
        <v>146000</v>
      </c>
      <c r="L44" s="201" t="s">
        <v>584</v>
      </c>
    </row>
    <row r="45" spans="1:12" ht="54" customHeight="1">
      <c r="A45" s="200" t="s">
        <v>561</v>
      </c>
      <c r="B45" s="45">
        <v>15</v>
      </c>
      <c r="C45" s="26" t="s">
        <v>549</v>
      </c>
      <c r="D45" s="10" t="s">
        <v>222</v>
      </c>
      <c r="E45" s="9" t="s">
        <v>73</v>
      </c>
      <c r="F45" s="9" t="s">
        <v>131</v>
      </c>
      <c r="G45" s="11">
        <v>1</v>
      </c>
      <c r="H45" s="12">
        <v>0</v>
      </c>
      <c r="I45" s="13">
        <v>10000</v>
      </c>
      <c r="J45" s="12">
        <f t="shared" si="2"/>
        <v>0</v>
      </c>
      <c r="K45" s="46">
        <f t="shared" si="3"/>
        <v>10000</v>
      </c>
      <c r="L45" s="198" t="s">
        <v>573</v>
      </c>
    </row>
    <row r="46" spans="1:12" ht="54" customHeight="1" thickBot="1">
      <c r="A46" s="141"/>
      <c r="B46" s="395" t="s">
        <v>75</v>
      </c>
      <c r="C46" s="396"/>
      <c r="D46" s="397"/>
      <c r="E46" s="397"/>
      <c r="F46" s="397"/>
      <c r="G46" s="56">
        <f>SUM(G30:G45)</f>
        <v>9170</v>
      </c>
      <c r="H46" s="57"/>
      <c r="I46" s="58"/>
      <c r="J46" s="56">
        <f>SUM(J30:J45)</f>
        <v>153553000000</v>
      </c>
      <c r="K46" s="59">
        <f>SUM(K30:K45)</f>
        <v>730000</v>
      </c>
      <c r="L46" s="206"/>
    </row>
    <row r="47" spans="1:12" ht="24.75" thickBot="1">
      <c r="A47" s="140"/>
      <c r="B47" s="160"/>
      <c r="C47" s="160"/>
      <c r="D47" s="160"/>
      <c r="E47" s="162"/>
      <c r="F47" s="162"/>
      <c r="G47" s="162"/>
      <c r="H47" s="162"/>
      <c r="I47" s="162"/>
      <c r="J47" s="162"/>
      <c r="K47" s="162"/>
      <c r="L47" s="194"/>
    </row>
    <row r="48" spans="1:12" ht="24.75" hidden="1" thickBot="1">
      <c r="A48" s="140"/>
      <c r="B48" s="160"/>
      <c r="C48" s="160"/>
      <c r="D48" s="160"/>
      <c r="E48" s="162"/>
      <c r="F48" s="162"/>
      <c r="G48" s="162"/>
      <c r="H48" s="162"/>
      <c r="I48" s="162"/>
      <c r="J48" s="162"/>
      <c r="K48" s="162"/>
      <c r="L48" s="194"/>
    </row>
    <row r="49" spans="1:12" ht="24.75" hidden="1" thickBot="1">
      <c r="A49" s="140"/>
      <c r="B49" s="160"/>
      <c r="C49" s="160"/>
      <c r="D49" s="160"/>
      <c r="E49" s="162"/>
      <c r="F49" s="162"/>
      <c r="G49" s="162"/>
      <c r="H49" s="162"/>
      <c r="I49" s="162"/>
      <c r="J49" s="162"/>
      <c r="K49" s="162"/>
      <c r="L49" s="194"/>
    </row>
    <row r="50" spans="1:12" ht="42" customHeight="1">
      <c r="A50" s="137"/>
      <c r="B50" s="485" t="s">
        <v>223</v>
      </c>
      <c r="C50" s="486"/>
      <c r="D50" s="487"/>
      <c r="E50" s="487"/>
      <c r="F50" s="487"/>
      <c r="G50" s="487"/>
      <c r="H50" s="487"/>
      <c r="I50" s="487"/>
      <c r="J50" s="487"/>
      <c r="K50" s="488"/>
      <c r="L50" s="193"/>
    </row>
    <row r="51" spans="1:12" ht="35.25" customHeight="1" thickBot="1">
      <c r="A51" s="140"/>
      <c r="B51" s="42"/>
      <c r="C51" s="160"/>
      <c r="D51" s="160"/>
      <c r="E51" s="162"/>
      <c r="F51" s="162"/>
      <c r="G51" s="162"/>
      <c r="H51" s="162"/>
      <c r="I51" s="162"/>
      <c r="J51" s="162"/>
      <c r="K51" s="67"/>
      <c r="L51" s="194"/>
    </row>
    <row r="52" spans="1:12" ht="27.95" customHeight="1">
      <c r="A52" s="190" t="s">
        <v>506</v>
      </c>
      <c r="B52" s="68" t="s">
        <v>35</v>
      </c>
      <c r="C52" s="65" t="s">
        <v>393</v>
      </c>
      <c r="D52" s="65" t="s">
        <v>523</v>
      </c>
      <c r="E52" s="64" t="s">
        <v>37</v>
      </c>
      <c r="F52" s="64" t="s">
        <v>38</v>
      </c>
      <c r="G52" s="64" t="s">
        <v>39</v>
      </c>
      <c r="H52" s="64" t="s">
        <v>40</v>
      </c>
      <c r="I52" s="64" t="s">
        <v>41</v>
      </c>
      <c r="J52" s="64" t="s">
        <v>42</v>
      </c>
      <c r="K52" s="69" t="s">
        <v>43</v>
      </c>
      <c r="L52" s="202" t="s">
        <v>480</v>
      </c>
    </row>
    <row r="53" spans="1:12" ht="72">
      <c r="A53" s="203" t="s">
        <v>575</v>
      </c>
      <c r="B53" s="47">
        <v>1</v>
      </c>
      <c r="C53" s="66" t="s">
        <v>576</v>
      </c>
      <c r="D53" s="15" t="s">
        <v>224</v>
      </c>
      <c r="E53" s="14" t="s">
        <v>225</v>
      </c>
      <c r="F53" s="14" t="s">
        <v>226</v>
      </c>
      <c r="G53" s="16">
        <v>20</v>
      </c>
      <c r="H53" s="17">
        <v>7000000000</v>
      </c>
      <c r="I53" s="18">
        <v>0</v>
      </c>
      <c r="J53" s="17">
        <f>G53*H53</f>
        <v>140000000000</v>
      </c>
      <c r="K53" s="48">
        <f>G53*I53</f>
        <v>0</v>
      </c>
      <c r="L53" s="204" t="s">
        <v>585</v>
      </c>
    </row>
    <row r="54" spans="1:12" ht="72">
      <c r="A54" s="203" t="s">
        <v>575</v>
      </c>
      <c r="B54" s="45">
        <v>2</v>
      </c>
      <c r="C54" s="66" t="s">
        <v>577</v>
      </c>
      <c r="D54" s="10" t="s">
        <v>227</v>
      </c>
      <c r="E54" s="9" t="s">
        <v>228</v>
      </c>
      <c r="F54" s="9" t="s">
        <v>229</v>
      </c>
      <c r="G54" s="11">
        <v>3</v>
      </c>
      <c r="H54" s="12">
        <v>1750000000</v>
      </c>
      <c r="I54" s="13">
        <v>0</v>
      </c>
      <c r="J54" s="12">
        <f>G54*H54</f>
        <v>5250000000</v>
      </c>
      <c r="K54" s="46">
        <f>G54*I54</f>
        <v>0</v>
      </c>
      <c r="L54" s="205" t="s">
        <v>581</v>
      </c>
    </row>
    <row r="55" spans="1:12" ht="72">
      <c r="A55" s="203" t="s">
        <v>575</v>
      </c>
      <c r="B55" s="47">
        <v>3</v>
      </c>
      <c r="C55" s="66" t="s">
        <v>578</v>
      </c>
      <c r="D55" s="15" t="s">
        <v>230</v>
      </c>
      <c r="E55" s="14" t="s">
        <v>73</v>
      </c>
      <c r="F55" s="14" t="s">
        <v>366</v>
      </c>
      <c r="G55" s="16">
        <v>1</v>
      </c>
      <c r="H55" s="17">
        <v>30000000000</v>
      </c>
      <c r="I55" s="18">
        <v>0</v>
      </c>
      <c r="J55" s="17">
        <f>G55*H55</f>
        <v>30000000000</v>
      </c>
      <c r="K55" s="48">
        <f>G55*I55</f>
        <v>0</v>
      </c>
      <c r="L55" s="204" t="s">
        <v>586</v>
      </c>
    </row>
    <row r="56" spans="1:12" ht="26.1" customHeight="1" thickBot="1">
      <c r="A56" s="141"/>
      <c r="B56" s="395" t="s">
        <v>75</v>
      </c>
      <c r="C56" s="396"/>
      <c r="D56" s="397"/>
      <c r="E56" s="397"/>
      <c r="F56" s="397"/>
      <c r="G56" s="56">
        <f>SUM(G53:G55)</f>
        <v>24</v>
      </c>
      <c r="H56" s="57"/>
      <c r="I56" s="58"/>
      <c r="J56" s="56">
        <f>SUM(J53:J55)</f>
        <v>175250000000</v>
      </c>
      <c r="K56" s="59">
        <f>SUM(K53:K55)</f>
        <v>0</v>
      </c>
      <c r="L56" s="206"/>
    </row>
  </sheetData>
  <mergeCells count="13">
    <mergeCell ref="B23:F23"/>
    <mergeCell ref="B56:F56"/>
    <mergeCell ref="K1:K2"/>
    <mergeCell ref="B5:K5"/>
    <mergeCell ref="E2:I2"/>
    <mergeCell ref="E1:I1"/>
    <mergeCell ref="B27:K27"/>
    <mergeCell ref="D1:D2"/>
    <mergeCell ref="J1:J2"/>
    <mergeCell ref="B50:K50"/>
    <mergeCell ref="B3:D3"/>
    <mergeCell ref="B46:F46"/>
    <mergeCell ref="B1:B2"/>
  </mergeCells>
  <hyperlinks>
    <hyperlink ref="B3" location="Dashboard!A1" display="◀ بازگشت به داشبورد" xr:uid="{00000000-0004-0000-0300-000000000000}"/>
  </hyperlinks>
  <printOptions horizontalCentered="1" verticalCentered="1"/>
  <pageMargins left="0.1" right="0.1" top="0.1" bottom="0.1" header="0.1" footer="0.1"/>
  <pageSetup paperSize="8" scale="48" fitToHeight="0" orientation="landscape" r:id="rId1"/>
  <rowBreaks count="2" manualBreakCount="2">
    <brk id="23" max="16383" man="1"/>
    <brk id="47"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2886-84D6-4739-941E-9BAF51967264}">
  <sheetPr>
    <pageSetUpPr fitToPage="1"/>
  </sheetPr>
  <dimension ref="A1:F11"/>
  <sheetViews>
    <sheetView rightToLeft="1" view="pageBreakPreview" zoomScale="25" zoomScaleNormal="85" zoomScaleSheetLayoutView="25" workbookViewId="0">
      <selection activeCell="P8" sqref="P8"/>
    </sheetView>
  </sheetViews>
  <sheetFormatPr defaultRowHeight="15"/>
  <cols>
    <col min="1" max="1" width="19.57031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83"/>
      <c r="C1" s="283"/>
      <c r="D1" s="283"/>
      <c r="E1" s="283"/>
      <c r="F1" s="284"/>
    </row>
    <row r="2" spans="1:6" ht="45" customHeight="1">
      <c r="A2" s="285"/>
      <c r="B2" s="286"/>
      <c r="C2" s="286"/>
      <c r="D2" s="286"/>
      <c r="E2" s="286"/>
      <c r="F2" s="287"/>
    </row>
    <row r="3" spans="1:6" ht="37.5" customHeight="1" thickBot="1">
      <c r="A3" s="285"/>
      <c r="B3" s="286"/>
      <c r="C3" s="286"/>
      <c r="D3" s="286"/>
      <c r="E3" s="286"/>
      <c r="F3" s="287"/>
    </row>
    <row r="4" spans="1:6" ht="307.5" customHeight="1">
      <c r="A4" s="285"/>
      <c r="B4" s="364" t="s">
        <v>760</v>
      </c>
      <c r="C4" s="365"/>
      <c r="D4" s="365"/>
      <c r="E4" s="366"/>
      <c r="F4" s="287"/>
    </row>
    <row r="5" spans="1:6" ht="409.6" customHeight="1">
      <c r="A5" s="285"/>
      <c r="B5" s="367"/>
      <c r="C5" s="368"/>
      <c r="D5" s="368"/>
      <c r="E5" s="369"/>
      <c r="F5" s="287"/>
    </row>
    <row r="6" spans="1:6" ht="165.75" customHeight="1">
      <c r="A6" s="285"/>
      <c r="B6" s="367"/>
      <c r="C6" s="368"/>
      <c r="D6" s="368"/>
      <c r="E6" s="369"/>
      <c r="F6" s="287"/>
    </row>
    <row r="7" spans="1:6" ht="321.75" customHeight="1">
      <c r="A7" s="285"/>
      <c r="B7" s="367"/>
      <c r="C7" s="368"/>
      <c r="D7" s="368"/>
      <c r="E7" s="369"/>
      <c r="F7" s="287"/>
    </row>
    <row r="8" spans="1:6" ht="370.5" customHeight="1">
      <c r="A8" s="285"/>
      <c r="B8" s="367"/>
      <c r="C8" s="368"/>
      <c r="D8" s="368"/>
      <c r="E8" s="369"/>
      <c r="F8" s="287"/>
    </row>
    <row r="9" spans="1:6" ht="204.75" customHeight="1">
      <c r="A9" s="285"/>
      <c r="B9" s="367"/>
      <c r="C9" s="368"/>
      <c r="D9" s="368"/>
      <c r="E9" s="369"/>
      <c r="F9" s="287"/>
    </row>
    <row r="10" spans="1:6" ht="189.75" customHeight="1" thickBot="1">
      <c r="A10" s="285"/>
      <c r="B10" s="370"/>
      <c r="C10" s="371"/>
      <c r="D10" s="371"/>
      <c r="E10" s="372"/>
      <c r="F10" s="287"/>
    </row>
    <row r="11" spans="1:6" ht="135.75" customHeight="1" thickBot="1">
      <c r="A11" s="288"/>
      <c r="B11" s="289"/>
      <c r="C11" s="289"/>
      <c r="D11" s="289"/>
      <c r="E11" s="289"/>
      <c r="F11" s="290"/>
    </row>
  </sheetData>
  <mergeCells count="1">
    <mergeCell ref="B4:E10"/>
  </mergeCells>
  <printOptions horizontalCentered="1" verticalCentered="1"/>
  <pageMargins left="0.1" right="0.1" top="0.1" bottom="0.1" header="0.1" footer="0.1"/>
  <pageSetup paperSize="8" scale="36"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pageSetUpPr fitToPage="1"/>
  </sheetPr>
  <dimension ref="A1:N117"/>
  <sheetViews>
    <sheetView showGridLines="0" view="pageBreakPreview" zoomScale="70" zoomScaleNormal="70" zoomScaleSheetLayoutView="70" workbookViewId="0">
      <selection activeCell="D115" sqref="D115"/>
    </sheetView>
  </sheetViews>
  <sheetFormatPr defaultRowHeight="24"/>
  <cols>
    <col min="1" max="1" width="37.5703125" style="76" bestFit="1" customWidth="1"/>
    <col min="2" max="2" width="8" customWidth="1"/>
    <col min="3" max="3" width="14.28515625" customWidth="1"/>
    <col min="4" max="4" width="89.140625" style="106" customWidth="1"/>
    <col min="5" max="5" width="29.5703125" customWidth="1"/>
    <col min="6" max="6" width="10" style="4" customWidth="1"/>
    <col min="7" max="7" width="12" style="4" customWidth="1"/>
    <col min="8" max="9" width="20" style="4" customWidth="1"/>
    <col min="10" max="11" width="22" style="4" customWidth="1"/>
    <col min="12" max="12" width="89" style="4" customWidth="1"/>
    <col min="13" max="13" width="11.7109375" bestFit="1" customWidth="1"/>
  </cols>
  <sheetData>
    <row r="1" spans="1:14" ht="27.95" customHeight="1">
      <c r="A1" s="137"/>
      <c r="B1" s="492"/>
      <c r="C1" s="38"/>
      <c r="D1" s="214"/>
      <c r="E1" s="497" t="s">
        <v>0</v>
      </c>
      <c r="F1" s="498"/>
      <c r="G1" s="498"/>
      <c r="H1" s="498"/>
      <c r="I1" s="498"/>
      <c r="J1" s="215"/>
      <c r="K1" s="484"/>
      <c r="L1" s="139"/>
    </row>
    <row r="2" spans="1:14" ht="27.95" customHeight="1" thickBot="1">
      <c r="A2" s="140"/>
      <c r="B2" s="462"/>
      <c r="C2" s="163"/>
      <c r="D2" s="108"/>
      <c r="E2" s="327" t="s">
        <v>231</v>
      </c>
      <c r="F2" s="328"/>
      <c r="G2" s="328"/>
      <c r="H2" s="328"/>
      <c r="I2" s="329"/>
      <c r="J2" s="216"/>
      <c r="K2" s="458"/>
      <c r="L2" s="67"/>
    </row>
    <row r="3" spans="1:14" ht="21.95" customHeight="1" thickBot="1">
      <c r="A3" s="140"/>
      <c r="B3" s="491" t="s">
        <v>33</v>
      </c>
      <c r="C3" s="382"/>
      <c r="D3" s="383"/>
      <c r="E3" s="160"/>
      <c r="F3" s="162"/>
      <c r="G3" s="162"/>
      <c r="H3" s="162"/>
      <c r="I3" s="162"/>
      <c r="J3" s="162"/>
      <c r="K3" s="5"/>
      <c r="L3" s="67"/>
    </row>
    <row r="4" spans="1:14" ht="15" customHeight="1" thickBot="1">
      <c r="A4" s="140"/>
      <c r="B4" s="1"/>
      <c r="C4" s="1"/>
      <c r="D4" s="107"/>
      <c r="E4" s="1"/>
      <c r="F4" s="5"/>
      <c r="G4" s="5"/>
      <c r="H4" s="5"/>
      <c r="I4" s="5"/>
      <c r="J4" s="5"/>
      <c r="K4" s="5"/>
      <c r="L4" s="67"/>
    </row>
    <row r="5" spans="1:14" ht="26.1" customHeight="1">
      <c r="A5" s="140"/>
      <c r="B5" s="493" t="s">
        <v>232</v>
      </c>
      <c r="C5" s="494"/>
      <c r="D5" s="495"/>
      <c r="E5" s="495"/>
      <c r="F5" s="495"/>
      <c r="G5" s="495"/>
      <c r="H5" s="495"/>
      <c r="I5" s="495"/>
      <c r="J5" s="495"/>
      <c r="K5" s="496"/>
      <c r="L5" s="67"/>
    </row>
    <row r="6" spans="1:14" ht="18" customHeight="1" thickBot="1">
      <c r="A6" s="141"/>
      <c r="B6" s="171"/>
      <c r="C6" s="158"/>
      <c r="D6" s="217"/>
      <c r="E6" s="158"/>
      <c r="F6" s="142"/>
      <c r="G6" s="142"/>
      <c r="H6" s="142"/>
      <c r="I6" s="142"/>
      <c r="J6" s="142"/>
      <c r="K6" s="143"/>
      <c r="L6" s="143"/>
    </row>
    <row r="7" spans="1:14" ht="27.95" customHeight="1">
      <c r="A7" s="174" t="s">
        <v>506</v>
      </c>
      <c r="B7" s="170" t="s">
        <v>35</v>
      </c>
      <c r="C7" s="114" t="s">
        <v>393</v>
      </c>
      <c r="D7" s="213" t="s">
        <v>36</v>
      </c>
      <c r="E7" s="114" t="s">
        <v>37</v>
      </c>
      <c r="F7" s="114" t="s">
        <v>38</v>
      </c>
      <c r="G7" s="114" t="s">
        <v>39</v>
      </c>
      <c r="H7" s="114" t="s">
        <v>40</v>
      </c>
      <c r="I7" s="114" t="s">
        <v>41</v>
      </c>
      <c r="J7" s="114" t="s">
        <v>42</v>
      </c>
      <c r="K7" s="115" t="s">
        <v>43</v>
      </c>
      <c r="L7" s="175" t="s">
        <v>480</v>
      </c>
    </row>
    <row r="8" spans="1:14" ht="370.5" customHeight="1">
      <c r="A8" s="218" t="s">
        <v>579</v>
      </c>
      <c r="B8" s="45">
        <v>1</v>
      </c>
      <c r="C8" s="164" t="s">
        <v>450</v>
      </c>
      <c r="D8" s="8" t="s">
        <v>367</v>
      </c>
      <c r="E8" s="9" t="s">
        <v>354</v>
      </c>
      <c r="F8" s="9" t="s">
        <v>233</v>
      </c>
      <c r="G8" s="11">
        <v>1</v>
      </c>
      <c r="H8" s="12">
        <v>0</v>
      </c>
      <c r="I8" s="13">
        <v>260000</v>
      </c>
      <c r="J8" s="12">
        <f t="shared" ref="J8:J20" si="0">G8*H8</f>
        <v>0</v>
      </c>
      <c r="K8" s="46">
        <f>G8*I8</f>
        <v>260000</v>
      </c>
      <c r="L8" s="178" t="s">
        <v>367</v>
      </c>
    </row>
    <row r="9" spans="1:14" ht="323.25" customHeight="1">
      <c r="A9" s="218" t="s">
        <v>579</v>
      </c>
      <c r="B9" s="45">
        <v>2</v>
      </c>
      <c r="C9" s="164" t="s">
        <v>451</v>
      </c>
      <c r="D9" s="7" t="s">
        <v>368</v>
      </c>
      <c r="E9" s="14" t="s">
        <v>354</v>
      </c>
      <c r="F9" s="14" t="s">
        <v>187</v>
      </c>
      <c r="G9" s="16">
        <v>1</v>
      </c>
      <c r="H9" s="17"/>
      <c r="I9" s="18">
        <v>200000</v>
      </c>
      <c r="J9" s="17">
        <f t="shared" si="0"/>
        <v>0</v>
      </c>
      <c r="K9" s="48">
        <f t="shared" ref="K9:K20" si="1">G9*I9</f>
        <v>200000</v>
      </c>
      <c r="L9" s="219" t="s">
        <v>368</v>
      </c>
    </row>
    <row r="10" spans="1:14" ht="90" customHeight="1">
      <c r="A10" s="218" t="s">
        <v>579</v>
      </c>
      <c r="B10" s="45">
        <v>3</v>
      </c>
      <c r="C10" s="499" t="s">
        <v>452</v>
      </c>
      <c r="D10" s="28" t="s">
        <v>355</v>
      </c>
      <c r="E10" s="29" t="s">
        <v>370</v>
      </c>
      <c r="F10" s="29" t="s">
        <v>117</v>
      </c>
      <c r="G10" s="30">
        <v>2</v>
      </c>
      <c r="H10" s="31"/>
      <c r="I10" s="32">
        <v>1310</v>
      </c>
      <c r="J10" s="31">
        <f t="shared" si="0"/>
        <v>0</v>
      </c>
      <c r="K10" s="85">
        <f t="shared" si="1"/>
        <v>2620</v>
      </c>
      <c r="L10" s="219" t="s">
        <v>355</v>
      </c>
      <c r="N10">
        <f>1310*2</f>
        <v>2620</v>
      </c>
    </row>
    <row r="11" spans="1:14" ht="69.95" customHeight="1">
      <c r="A11" s="218" t="s">
        <v>579</v>
      </c>
      <c r="B11" s="45">
        <v>4</v>
      </c>
      <c r="C11" s="499"/>
      <c r="D11" s="15" t="s">
        <v>355</v>
      </c>
      <c r="E11" s="14" t="s">
        <v>371</v>
      </c>
      <c r="F11" s="14" t="s">
        <v>117</v>
      </c>
      <c r="G11" s="16">
        <v>1</v>
      </c>
      <c r="H11" s="17"/>
      <c r="I11" s="18">
        <v>1900</v>
      </c>
      <c r="J11" s="17">
        <f t="shared" si="0"/>
        <v>0</v>
      </c>
      <c r="K11" s="48">
        <f t="shared" si="1"/>
        <v>1900</v>
      </c>
      <c r="L11" s="219" t="s">
        <v>355</v>
      </c>
    </row>
    <row r="12" spans="1:14" ht="69.95" customHeight="1">
      <c r="A12" s="218" t="s">
        <v>579</v>
      </c>
      <c r="B12" s="45">
        <v>5</v>
      </c>
      <c r="C12" s="164" t="s">
        <v>453</v>
      </c>
      <c r="D12" s="10" t="s">
        <v>355</v>
      </c>
      <c r="E12" s="9" t="s">
        <v>372</v>
      </c>
      <c r="F12" s="9" t="s">
        <v>117</v>
      </c>
      <c r="G12" s="11">
        <v>1</v>
      </c>
      <c r="H12" s="12"/>
      <c r="I12" s="13">
        <v>6500</v>
      </c>
      <c r="J12" s="12">
        <f t="shared" si="0"/>
        <v>0</v>
      </c>
      <c r="K12" s="46">
        <f t="shared" si="1"/>
        <v>6500</v>
      </c>
      <c r="L12" s="219" t="s">
        <v>355</v>
      </c>
    </row>
    <row r="13" spans="1:14" ht="69.95" customHeight="1">
      <c r="A13" s="218" t="s">
        <v>579</v>
      </c>
      <c r="B13" s="45">
        <v>6</v>
      </c>
      <c r="C13" s="164" t="s">
        <v>454</v>
      </c>
      <c r="D13" s="15" t="s">
        <v>355</v>
      </c>
      <c r="E13" s="14" t="s">
        <v>373</v>
      </c>
      <c r="F13" s="14" t="s">
        <v>117</v>
      </c>
      <c r="G13" s="16">
        <v>1</v>
      </c>
      <c r="H13" s="17"/>
      <c r="I13" s="18">
        <v>83000</v>
      </c>
      <c r="J13" s="17">
        <f t="shared" si="0"/>
        <v>0</v>
      </c>
      <c r="K13" s="48">
        <f t="shared" si="1"/>
        <v>83000</v>
      </c>
      <c r="L13" s="219" t="s">
        <v>355</v>
      </c>
    </row>
    <row r="14" spans="1:14" ht="69.95" customHeight="1">
      <c r="A14" s="218" t="s">
        <v>579</v>
      </c>
      <c r="B14" s="45">
        <v>7</v>
      </c>
      <c r="C14" s="499" t="s">
        <v>455</v>
      </c>
      <c r="D14" s="10" t="s">
        <v>355</v>
      </c>
      <c r="E14" s="9" t="s">
        <v>374</v>
      </c>
      <c r="F14" s="9" t="s">
        <v>117</v>
      </c>
      <c r="G14" s="11">
        <v>1</v>
      </c>
      <c r="H14" s="12"/>
      <c r="I14" s="13">
        <v>73000</v>
      </c>
      <c r="J14" s="12">
        <f t="shared" si="0"/>
        <v>0</v>
      </c>
      <c r="K14" s="46">
        <f t="shared" si="1"/>
        <v>73000</v>
      </c>
      <c r="L14" s="219" t="s">
        <v>355</v>
      </c>
    </row>
    <row r="15" spans="1:14" ht="69.95" customHeight="1">
      <c r="A15" s="218" t="s">
        <v>579</v>
      </c>
      <c r="B15" s="45">
        <v>8</v>
      </c>
      <c r="C15" s="499"/>
      <c r="D15" s="15" t="s">
        <v>355</v>
      </c>
      <c r="E15" s="14" t="s">
        <v>375</v>
      </c>
      <c r="F15" s="14" t="s">
        <v>117</v>
      </c>
      <c r="G15" s="16">
        <v>1</v>
      </c>
      <c r="H15" s="17"/>
      <c r="I15" s="18">
        <v>75000</v>
      </c>
      <c r="J15" s="17">
        <f t="shared" si="0"/>
        <v>0</v>
      </c>
      <c r="K15" s="48">
        <f t="shared" si="1"/>
        <v>75000</v>
      </c>
      <c r="L15" s="219" t="s">
        <v>355</v>
      </c>
    </row>
    <row r="16" spans="1:14" ht="69.95" customHeight="1">
      <c r="A16" s="218" t="s">
        <v>579</v>
      </c>
      <c r="B16" s="45">
        <v>9</v>
      </c>
      <c r="C16" s="164" t="s">
        <v>456</v>
      </c>
      <c r="D16" s="10" t="s">
        <v>355</v>
      </c>
      <c r="E16" s="9" t="s">
        <v>376</v>
      </c>
      <c r="F16" s="9" t="s">
        <v>117</v>
      </c>
      <c r="G16" s="11">
        <v>15</v>
      </c>
      <c r="H16" s="12"/>
      <c r="I16" s="13">
        <v>230</v>
      </c>
      <c r="J16" s="12">
        <f t="shared" si="0"/>
        <v>0</v>
      </c>
      <c r="K16" s="46">
        <f t="shared" si="1"/>
        <v>3450</v>
      </c>
      <c r="L16" s="219" t="s">
        <v>355</v>
      </c>
    </row>
    <row r="17" spans="1:12" ht="69.95" customHeight="1">
      <c r="A17" s="218" t="s">
        <v>579</v>
      </c>
      <c r="B17" s="45">
        <v>10</v>
      </c>
      <c r="C17" s="164" t="s">
        <v>457</v>
      </c>
      <c r="D17" s="15" t="s">
        <v>355</v>
      </c>
      <c r="E17" s="14" t="s">
        <v>377</v>
      </c>
      <c r="F17" s="14" t="s">
        <v>117</v>
      </c>
      <c r="G17" s="16">
        <v>14</v>
      </c>
      <c r="H17" s="17"/>
      <c r="I17" s="18">
        <v>980</v>
      </c>
      <c r="J17" s="17">
        <f t="shared" si="0"/>
        <v>0</v>
      </c>
      <c r="K17" s="48">
        <f t="shared" si="1"/>
        <v>13720</v>
      </c>
      <c r="L17" s="219" t="s">
        <v>355</v>
      </c>
    </row>
    <row r="18" spans="1:12" ht="69.95" customHeight="1">
      <c r="A18" s="218" t="s">
        <v>579</v>
      </c>
      <c r="B18" s="45">
        <v>11</v>
      </c>
      <c r="C18" s="164" t="s">
        <v>458</v>
      </c>
      <c r="D18" s="10" t="s">
        <v>355</v>
      </c>
      <c r="E18" s="9" t="s">
        <v>377</v>
      </c>
      <c r="F18" s="9" t="s">
        <v>117</v>
      </c>
      <c r="G18" s="11">
        <v>13</v>
      </c>
      <c r="H18" s="12"/>
      <c r="I18" s="13">
        <v>1230</v>
      </c>
      <c r="J18" s="12">
        <f t="shared" si="0"/>
        <v>0</v>
      </c>
      <c r="K18" s="46">
        <f t="shared" si="1"/>
        <v>15990</v>
      </c>
      <c r="L18" s="219" t="s">
        <v>355</v>
      </c>
    </row>
    <row r="19" spans="1:12" ht="69.95" customHeight="1">
      <c r="A19" s="218" t="s">
        <v>579</v>
      </c>
      <c r="B19" s="45">
        <v>12</v>
      </c>
      <c r="C19" s="164" t="s">
        <v>459</v>
      </c>
      <c r="D19" s="15" t="s">
        <v>355</v>
      </c>
      <c r="E19" s="14" t="s">
        <v>378</v>
      </c>
      <c r="F19" s="14" t="s">
        <v>117</v>
      </c>
      <c r="G19" s="16">
        <v>2</v>
      </c>
      <c r="H19" s="17"/>
      <c r="I19" s="18">
        <v>2700</v>
      </c>
      <c r="J19" s="17">
        <f t="shared" si="0"/>
        <v>0</v>
      </c>
      <c r="K19" s="48">
        <f t="shared" si="1"/>
        <v>5400</v>
      </c>
      <c r="L19" s="219" t="s">
        <v>355</v>
      </c>
    </row>
    <row r="20" spans="1:12" ht="69.95" customHeight="1">
      <c r="A20" s="218" t="s">
        <v>579</v>
      </c>
      <c r="B20" s="45">
        <v>13</v>
      </c>
      <c r="C20" s="164" t="s">
        <v>460</v>
      </c>
      <c r="D20" s="10" t="s">
        <v>355</v>
      </c>
      <c r="E20" s="9" t="s">
        <v>377</v>
      </c>
      <c r="F20" s="9" t="s">
        <v>117</v>
      </c>
      <c r="G20" s="11">
        <v>1</v>
      </c>
      <c r="H20" s="12"/>
      <c r="I20" s="13">
        <v>2100</v>
      </c>
      <c r="J20" s="12">
        <f t="shared" si="0"/>
        <v>0</v>
      </c>
      <c r="K20" s="46">
        <f t="shared" si="1"/>
        <v>2100</v>
      </c>
      <c r="L20" s="219" t="s">
        <v>355</v>
      </c>
    </row>
    <row r="21" spans="1:12" ht="69.95" customHeight="1">
      <c r="A21" s="218" t="s">
        <v>579</v>
      </c>
      <c r="B21" s="45">
        <v>14</v>
      </c>
      <c r="C21" s="499" t="s">
        <v>461</v>
      </c>
      <c r="D21" s="15" t="s">
        <v>355</v>
      </c>
      <c r="E21" s="14" t="s">
        <v>356</v>
      </c>
      <c r="F21" s="14" t="s">
        <v>117</v>
      </c>
      <c r="G21" s="11">
        <v>5</v>
      </c>
      <c r="H21" s="12"/>
      <c r="I21" s="13">
        <v>15700</v>
      </c>
      <c r="J21" s="12">
        <f t="shared" ref="J21:J46" si="2">G21*H21</f>
        <v>0</v>
      </c>
      <c r="K21" s="46">
        <f t="shared" ref="K21:K46" si="3">G21*I21</f>
        <v>78500</v>
      </c>
      <c r="L21" s="219" t="s">
        <v>355</v>
      </c>
    </row>
    <row r="22" spans="1:12" ht="69.95" customHeight="1">
      <c r="A22" s="218" t="s">
        <v>579</v>
      </c>
      <c r="B22" s="45">
        <v>15</v>
      </c>
      <c r="C22" s="499"/>
      <c r="D22" s="15" t="s">
        <v>355</v>
      </c>
      <c r="E22" s="14" t="s">
        <v>357</v>
      </c>
      <c r="F22" s="14" t="s">
        <v>117</v>
      </c>
      <c r="G22" s="16">
        <v>3</v>
      </c>
      <c r="H22" s="17"/>
      <c r="I22" s="33">
        <v>11700</v>
      </c>
      <c r="J22" s="12">
        <f t="shared" si="2"/>
        <v>0</v>
      </c>
      <c r="K22" s="46">
        <f t="shared" si="3"/>
        <v>35100</v>
      </c>
      <c r="L22" s="219" t="s">
        <v>355</v>
      </c>
    </row>
    <row r="23" spans="1:12" ht="69.95" customHeight="1">
      <c r="A23" s="218" t="s">
        <v>579</v>
      </c>
      <c r="B23" s="45">
        <v>16</v>
      </c>
      <c r="C23" s="499"/>
      <c r="D23" s="15" t="s">
        <v>355</v>
      </c>
      <c r="E23" s="14" t="s">
        <v>379</v>
      </c>
      <c r="F23" s="14" t="s">
        <v>117</v>
      </c>
      <c r="G23" s="16">
        <v>1</v>
      </c>
      <c r="H23" s="17"/>
      <c r="I23" s="33">
        <v>9750</v>
      </c>
      <c r="J23" s="12">
        <f t="shared" si="2"/>
        <v>0</v>
      </c>
      <c r="K23" s="46">
        <f t="shared" si="3"/>
        <v>9750</v>
      </c>
      <c r="L23" s="219" t="s">
        <v>355</v>
      </c>
    </row>
    <row r="24" spans="1:12" ht="69.95" customHeight="1">
      <c r="A24" s="218" t="s">
        <v>579</v>
      </c>
      <c r="B24" s="45">
        <v>17</v>
      </c>
      <c r="C24" s="499"/>
      <c r="D24" s="15" t="s">
        <v>355</v>
      </c>
      <c r="E24" s="9" t="s">
        <v>380</v>
      </c>
      <c r="F24" s="9" t="s">
        <v>117</v>
      </c>
      <c r="G24" s="11">
        <v>4</v>
      </c>
      <c r="H24" s="12"/>
      <c r="I24" s="13">
        <v>17900</v>
      </c>
      <c r="J24" s="12">
        <f t="shared" si="2"/>
        <v>0</v>
      </c>
      <c r="K24" s="46">
        <f t="shared" si="3"/>
        <v>71600</v>
      </c>
      <c r="L24" s="219" t="s">
        <v>355</v>
      </c>
    </row>
    <row r="25" spans="1:12" ht="69.95" customHeight="1">
      <c r="A25" s="218" t="s">
        <v>579</v>
      </c>
      <c r="B25" s="45">
        <v>18</v>
      </c>
      <c r="C25" s="499"/>
      <c r="D25" s="15" t="s">
        <v>355</v>
      </c>
      <c r="E25" s="14" t="s">
        <v>381</v>
      </c>
      <c r="F25" s="14" t="s">
        <v>117</v>
      </c>
      <c r="G25" s="16">
        <v>3</v>
      </c>
      <c r="H25" s="17"/>
      <c r="I25" s="18">
        <v>19700</v>
      </c>
      <c r="J25" s="12">
        <f t="shared" si="2"/>
        <v>0</v>
      </c>
      <c r="K25" s="46">
        <f t="shared" si="3"/>
        <v>59100</v>
      </c>
      <c r="L25" s="219" t="s">
        <v>355</v>
      </c>
    </row>
    <row r="26" spans="1:12" ht="69.95" customHeight="1">
      <c r="A26" s="218" t="s">
        <v>579</v>
      </c>
      <c r="B26" s="45">
        <v>19</v>
      </c>
      <c r="C26" s="499"/>
      <c r="D26" s="15" t="s">
        <v>355</v>
      </c>
      <c r="E26" s="9" t="s">
        <v>382</v>
      </c>
      <c r="F26" s="9" t="s">
        <v>117</v>
      </c>
      <c r="G26" s="11">
        <v>4</v>
      </c>
      <c r="H26" s="12"/>
      <c r="I26" s="13">
        <v>33400</v>
      </c>
      <c r="J26" s="12">
        <f t="shared" si="2"/>
        <v>0</v>
      </c>
      <c r="K26" s="46">
        <f t="shared" si="3"/>
        <v>133600</v>
      </c>
      <c r="L26" s="219" t="s">
        <v>355</v>
      </c>
    </row>
    <row r="27" spans="1:12" ht="69.95" customHeight="1">
      <c r="A27" s="218" t="s">
        <v>579</v>
      </c>
      <c r="B27" s="45">
        <v>20</v>
      </c>
      <c r="C27" s="499"/>
      <c r="D27" s="15" t="s">
        <v>355</v>
      </c>
      <c r="E27" s="14" t="s">
        <v>383</v>
      </c>
      <c r="F27" s="14" t="s">
        <v>117</v>
      </c>
      <c r="G27" s="16">
        <v>1</v>
      </c>
      <c r="H27" s="17"/>
      <c r="I27" s="18">
        <v>14950</v>
      </c>
      <c r="J27" s="12">
        <f t="shared" si="2"/>
        <v>0</v>
      </c>
      <c r="K27" s="46">
        <f t="shared" si="3"/>
        <v>14950</v>
      </c>
      <c r="L27" s="219" t="s">
        <v>355</v>
      </c>
    </row>
    <row r="28" spans="1:12" ht="69.95" customHeight="1">
      <c r="A28" s="218" t="s">
        <v>579</v>
      </c>
      <c r="B28" s="45">
        <v>21</v>
      </c>
      <c r="C28" s="499"/>
      <c r="D28" s="15" t="s">
        <v>355</v>
      </c>
      <c r="E28" s="9" t="s">
        <v>384</v>
      </c>
      <c r="F28" s="9" t="s">
        <v>117</v>
      </c>
      <c r="G28" s="11">
        <v>1</v>
      </c>
      <c r="H28" s="12"/>
      <c r="I28" s="13">
        <v>17400</v>
      </c>
      <c r="J28" s="12">
        <f t="shared" si="2"/>
        <v>0</v>
      </c>
      <c r="K28" s="46">
        <f t="shared" si="3"/>
        <v>17400</v>
      </c>
      <c r="L28" s="219" t="s">
        <v>355</v>
      </c>
    </row>
    <row r="29" spans="1:12" ht="69.95" customHeight="1">
      <c r="A29" s="218" t="s">
        <v>579</v>
      </c>
      <c r="B29" s="45">
        <v>22</v>
      </c>
      <c r="C29" s="499"/>
      <c r="D29" s="15" t="s">
        <v>355</v>
      </c>
      <c r="E29" s="14" t="s">
        <v>385</v>
      </c>
      <c r="F29" s="14" t="s">
        <v>117</v>
      </c>
      <c r="G29" s="16">
        <v>1</v>
      </c>
      <c r="H29" s="17"/>
      <c r="I29" s="18">
        <v>11400</v>
      </c>
      <c r="J29" s="12">
        <f t="shared" si="2"/>
        <v>0</v>
      </c>
      <c r="K29" s="46">
        <f t="shared" si="3"/>
        <v>11400</v>
      </c>
      <c r="L29" s="219" t="s">
        <v>355</v>
      </c>
    </row>
    <row r="30" spans="1:12" ht="69.95" customHeight="1">
      <c r="A30" s="218" t="s">
        <v>579</v>
      </c>
      <c r="B30" s="45">
        <v>23</v>
      </c>
      <c r="C30" s="499"/>
      <c r="D30" s="15" t="s">
        <v>355</v>
      </c>
      <c r="E30" s="9" t="s">
        <v>386</v>
      </c>
      <c r="F30" s="9" t="s">
        <v>117</v>
      </c>
      <c r="G30" s="11">
        <v>1</v>
      </c>
      <c r="H30" s="12"/>
      <c r="I30" s="13">
        <v>21900</v>
      </c>
      <c r="J30" s="12">
        <f t="shared" si="2"/>
        <v>0</v>
      </c>
      <c r="K30" s="46">
        <f t="shared" si="3"/>
        <v>21900</v>
      </c>
      <c r="L30" s="219" t="s">
        <v>355</v>
      </c>
    </row>
    <row r="31" spans="1:12" ht="69.95" customHeight="1">
      <c r="A31" s="218" t="s">
        <v>579</v>
      </c>
      <c r="B31" s="45">
        <v>24</v>
      </c>
      <c r="C31" s="499" t="s">
        <v>462</v>
      </c>
      <c r="D31" s="15" t="s">
        <v>355</v>
      </c>
      <c r="E31" s="14" t="s">
        <v>387</v>
      </c>
      <c r="F31" s="14" t="s">
        <v>117</v>
      </c>
      <c r="G31" s="16">
        <v>1</v>
      </c>
      <c r="H31" s="17"/>
      <c r="I31" s="18">
        <v>6100</v>
      </c>
      <c r="J31" s="12">
        <f t="shared" si="2"/>
        <v>0</v>
      </c>
      <c r="K31" s="46">
        <f t="shared" si="3"/>
        <v>6100</v>
      </c>
      <c r="L31" s="219" t="s">
        <v>355</v>
      </c>
    </row>
    <row r="32" spans="1:12" ht="69.95" customHeight="1">
      <c r="A32" s="218" t="s">
        <v>579</v>
      </c>
      <c r="B32" s="45">
        <v>25</v>
      </c>
      <c r="C32" s="499"/>
      <c r="D32" s="15" t="s">
        <v>355</v>
      </c>
      <c r="E32" s="9" t="s">
        <v>388</v>
      </c>
      <c r="F32" s="9" t="s">
        <v>117</v>
      </c>
      <c r="G32" s="11">
        <v>1</v>
      </c>
      <c r="H32" s="12"/>
      <c r="I32" s="13">
        <v>100</v>
      </c>
      <c r="J32" s="12">
        <f t="shared" si="2"/>
        <v>0</v>
      </c>
      <c r="K32" s="46">
        <f t="shared" si="3"/>
        <v>100</v>
      </c>
      <c r="L32" s="219" t="s">
        <v>355</v>
      </c>
    </row>
    <row r="33" spans="1:13" ht="69.95" customHeight="1">
      <c r="A33" s="218" t="s">
        <v>579</v>
      </c>
      <c r="B33" s="45">
        <v>26</v>
      </c>
      <c r="C33" s="164" t="s">
        <v>463</v>
      </c>
      <c r="D33" s="15" t="s">
        <v>355</v>
      </c>
      <c r="E33" s="14" t="s">
        <v>389</v>
      </c>
      <c r="F33" s="14" t="s">
        <v>117</v>
      </c>
      <c r="G33" s="16">
        <v>1</v>
      </c>
      <c r="H33" s="17"/>
      <c r="I33" s="18">
        <v>47000</v>
      </c>
      <c r="J33" s="12">
        <f t="shared" si="2"/>
        <v>0</v>
      </c>
      <c r="K33" s="46">
        <f t="shared" si="3"/>
        <v>47000</v>
      </c>
      <c r="L33" s="219" t="s">
        <v>355</v>
      </c>
    </row>
    <row r="34" spans="1:13" ht="69.95" customHeight="1">
      <c r="A34" s="218" t="s">
        <v>579</v>
      </c>
      <c r="B34" s="45">
        <v>27</v>
      </c>
      <c r="C34" s="164" t="s">
        <v>464</v>
      </c>
      <c r="D34" s="15" t="s">
        <v>355</v>
      </c>
      <c r="E34" s="9" t="s">
        <v>376</v>
      </c>
      <c r="F34" s="9" t="s">
        <v>117</v>
      </c>
      <c r="G34" s="11">
        <v>1</v>
      </c>
      <c r="H34" s="12"/>
      <c r="I34" s="13">
        <v>1680</v>
      </c>
      <c r="J34" s="12">
        <f t="shared" si="2"/>
        <v>0</v>
      </c>
      <c r="K34" s="46">
        <f t="shared" si="3"/>
        <v>1680</v>
      </c>
      <c r="L34" s="219" t="s">
        <v>355</v>
      </c>
    </row>
    <row r="35" spans="1:13" ht="69.95" customHeight="1">
      <c r="A35" s="218" t="s">
        <v>579</v>
      </c>
      <c r="B35" s="45">
        <v>28</v>
      </c>
      <c r="C35" s="164" t="s">
        <v>465</v>
      </c>
      <c r="D35" s="15" t="s">
        <v>355</v>
      </c>
      <c r="E35" s="14" t="s">
        <v>390</v>
      </c>
      <c r="F35" s="14" t="s">
        <v>117</v>
      </c>
      <c r="G35" s="16">
        <v>1</v>
      </c>
      <c r="H35" s="17"/>
      <c r="I35" s="18">
        <v>29700</v>
      </c>
      <c r="J35" s="12">
        <f t="shared" si="2"/>
        <v>0</v>
      </c>
      <c r="K35" s="46">
        <f t="shared" si="3"/>
        <v>29700</v>
      </c>
      <c r="L35" s="219" t="s">
        <v>355</v>
      </c>
    </row>
    <row r="36" spans="1:13" ht="69.95" customHeight="1">
      <c r="A36" s="218" t="s">
        <v>579</v>
      </c>
      <c r="B36" s="45">
        <v>29</v>
      </c>
      <c r="C36" s="164" t="s">
        <v>466</v>
      </c>
      <c r="D36" s="15" t="s">
        <v>355</v>
      </c>
      <c r="E36" s="9" t="s">
        <v>391</v>
      </c>
      <c r="F36" s="9" t="s">
        <v>117</v>
      </c>
      <c r="G36" s="11">
        <v>2</v>
      </c>
      <c r="H36" s="12"/>
      <c r="I36" s="13">
        <v>83000</v>
      </c>
      <c r="J36" s="12">
        <f t="shared" si="2"/>
        <v>0</v>
      </c>
      <c r="K36" s="46">
        <f t="shared" si="3"/>
        <v>166000</v>
      </c>
      <c r="L36" s="219" t="s">
        <v>355</v>
      </c>
    </row>
    <row r="37" spans="1:13" ht="69.95" customHeight="1">
      <c r="A37" s="218" t="s">
        <v>579</v>
      </c>
      <c r="B37" s="45">
        <v>30</v>
      </c>
      <c r="C37" s="164" t="s">
        <v>467</v>
      </c>
      <c r="D37" s="15" t="s">
        <v>369</v>
      </c>
      <c r="E37" s="14" t="s">
        <v>358</v>
      </c>
      <c r="F37" s="14" t="s">
        <v>117</v>
      </c>
      <c r="G37" s="16">
        <v>2</v>
      </c>
      <c r="H37" s="17">
        <v>185000000</v>
      </c>
      <c r="I37" s="18"/>
      <c r="J37" s="12">
        <f t="shared" si="2"/>
        <v>370000000</v>
      </c>
      <c r="K37" s="46">
        <f t="shared" si="3"/>
        <v>0</v>
      </c>
      <c r="L37" s="219" t="s">
        <v>369</v>
      </c>
    </row>
    <row r="38" spans="1:13" ht="69.95" customHeight="1">
      <c r="A38" s="218" t="s">
        <v>579</v>
      </c>
      <c r="B38" s="45">
        <v>31</v>
      </c>
      <c r="C38" s="164" t="s">
        <v>468</v>
      </c>
      <c r="D38" s="15" t="s">
        <v>355</v>
      </c>
      <c r="E38" s="9" t="s">
        <v>359</v>
      </c>
      <c r="F38" s="9" t="s">
        <v>117</v>
      </c>
      <c r="G38" s="11">
        <v>9</v>
      </c>
      <c r="H38" s="12">
        <v>350000000</v>
      </c>
      <c r="I38" s="13"/>
      <c r="J38" s="12">
        <f t="shared" si="2"/>
        <v>3150000000</v>
      </c>
      <c r="K38" s="46">
        <f t="shared" si="3"/>
        <v>0</v>
      </c>
      <c r="L38" s="219" t="s">
        <v>355</v>
      </c>
    </row>
    <row r="39" spans="1:13" ht="69.95" customHeight="1">
      <c r="A39" s="218" t="s">
        <v>579</v>
      </c>
      <c r="B39" s="45">
        <v>32</v>
      </c>
      <c r="C39" s="164" t="s">
        <v>468</v>
      </c>
      <c r="D39" s="15" t="s">
        <v>355</v>
      </c>
      <c r="E39" s="14" t="s">
        <v>360</v>
      </c>
      <c r="F39" s="14" t="s">
        <v>117</v>
      </c>
      <c r="G39" s="16">
        <v>2</v>
      </c>
      <c r="H39" s="17">
        <v>400000000</v>
      </c>
      <c r="I39" s="18"/>
      <c r="J39" s="12">
        <f t="shared" si="2"/>
        <v>800000000</v>
      </c>
      <c r="K39" s="46">
        <f t="shared" si="3"/>
        <v>0</v>
      </c>
      <c r="L39" s="219" t="s">
        <v>355</v>
      </c>
    </row>
    <row r="40" spans="1:13" ht="69.95" customHeight="1">
      <c r="A40" s="218" t="s">
        <v>579</v>
      </c>
      <c r="B40" s="45">
        <v>33</v>
      </c>
      <c r="C40" s="164" t="s">
        <v>469</v>
      </c>
      <c r="D40" s="15" t="s">
        <v>355</v>
      </c>
      <c r="E40" s="9" t="s">
        <v>361</v>
      </c>
      <c r="F40" s="9" t="s">
        <v>117</v>
      </c>
      <c r="G40" s="11">
        <v>2</v>
      </c>
      <c r="H40" s="12"/>
      <c r="I40" s="13">
        <v>1700</v>
      </c>
      <c r="J40" s="12">
        <f t="shared" si="2"/>
        <v>0</v>
      </c>
      <c r="K40" s="46">
        <f t="shared" si="3"/>
        <v>3400</v>
      </c>
      <c r="L40" s="219" t="s">
        <v>355</v>
      </c>
    </row>
    <row r="41" spans="1:13" ht="69.95" customHeight="1">
      <c r="A41" s="218" t="s">
        <v>579</v>
      </c>
      <c r="B41" s="45">
        <v>34</v>
      </c>
      <c r="C41" s="164" t="s">
        <v>470</v>
      </c>
      <c r="D41" s="15" t="s">
        <v>355</v>
      </c>
      <c r="E41" s="14" t="s">
        <v>392</v>
      </c>
      <c r="F41" s="14" t="s">
        <v>117</v>
      </c>
      <c r="G41" s="16">
        <v>1</v>
      </c>
      <c r="H41" s="17"/>
      <c r="I41" s="18">
        <v>4000</v>
      </c>
      <c r="J41" s="12">
        <f t="shared" si="2"/>
        <v>0</v>
      </c>
      <c r="K41" s="46">
        <f t="shared" si="3"/>
        <v>4000</v>
      </c>
      <c r="L41" s="219" t="s">
        <v>355</v>
      </c>
    </row>
    <row r="42" spans="1:13" ht="69.95" customHeight="1">
      <c r="A42" s="218" t="s">
        <v>579</v>
      </c>
      <c r="B42" s="45">
        <v>35</v>
      </c>
      <c r="C42" s="165" t="s">
        <v>471</v>
      </c>
      <c r="D42" s="15" t="s">
        <v>362</v>
      </c>
      <c r="E42" s="9"/>
      <c r="F42" s="9" t="s">
        <v>187</v>
      </c>
      <c r="G42" s="11">
        <v>1</v>
      </c>
      <c r="H42" s="12"/>
      <c r="I42" s="13">
        <v>74250</v>
      </c>
      <c r="J42" s="12">
        <f t="shared" si="2"/>
        <v>0</v>
      </c>
      <c r="K42" s="46">
        <f t="shared" si="3"/>
        <v>74250</v>
      </c>
      <c r="L42" s="184" t="s">
        <v>362</v>
      </c>
    </row>
    <row r="43" spans="1:13" ht="69.95" customHeight="1">
      <c r="A43" s="218" t="s">
        <v>579</v>
      </c>
      <c r="B43" s="45">
        <v>36</v>
      </c>
      <c r="C43" s="165" t="s">
        <v>472</v>
      </c>
      <c r="D43" s="15" t="s">
        <v>363</v>
      </c>
      <c r="E43" s="14"/>
      <c r="F43" s="14" t="s">
        <v>187</v>
      </c>
      <c r="G43" s="16">
        <v>1</v>
      </c>
      <c r="H43" s="17"/>
      <c r="I43" s="18">
        <v>120250</v>
      </c>
      <c r="J43" s="12">
        <f t="shared" si="2"/>
        <v>0</v>
      </c>
      <c r="K43" s="46">
        <f t="shared" si="3"/>
        <v>120250</v>
      </c>
      <c r="L43" s="184" t="s">
        <v>363</v>
      </c>
    </row>
    <row r="44" spans="1:13" ht="69.95" customHeight="1">
      <c r="A44" s="218" t="s">
        <v>579</v>
      </c>
      <c r="B44" s="45">
        <v>37</v>
      </c>
      <c r="C44" s="165" t="s">
        <v>473</v>
      </c>
      <c r="D44" s="15" t="s">
        <v>364</v>
      </c>
      <c r="E44" s="9"/>
      <c r="F44" s="9" t="s">
        <v>187</v>
      </c>
      <c r="G44" s="11">
        <v>1</v>
      </c>
      <c r="H44" s="12"/>
      <c r="I44" s="13">
        <v>153550</v>
      </c>
      <c r="J44" s="12">
        <f t="shared" si="2"/>
        <v>0</v>
      </c>
      <c r="K44" s="46">
        <f t="shared" si="3"/>
        <v>153550</v>
      </c>
      <c r="L44" s="184" t="s">
        <v>364</v>
      </c>
    </row>
    <row r="45" spans="1:13" ht="69.95" customHeight="1">
      <c r="A45" s="218" t="s">
        <v>579</v>
      </c>
      <c r="B45" s="45">
        <v>38</v>
      </c>
      <c r="C45" s="165" t="s">
        <v>474</v>
      </c>
      <c r="D45" s="15" t="s">
        <v>365</v>
      </c>
      <c r="E45" s="14"/>
      <c r="F45" s="14" t="s">
        <v>187</v>
      </c>
      <c r="G45" s="16">
        <v>1</v>
      </c>
      <c r="H45" s="17"/>
      <c r="I45" s="18">
        <v>170000</v>
      </c>
      <c r="J45" s="12">
        <f t="shared" si="2"/>
        <v>0</v>
      </c>
      <c r="K45" s="46">
        <f t="shared" si="3"/>
        <v>170000</v>
      </c>
      <c r="L45" s="184" t="s">
        <v>365</v>
      </c>
    </row>
    <row r="46" spans="1:13" ht="69.95" customHeight="1">
      <c r="A46" s="218" t="s">
        <v>579</v>
      </c>
      <c r="B46" s="45">
        <v>39</v>
      </c>
      <c r="C46" s="9" t="s">
        <v>549</v>
      </c>
      <c r="D46" s="15" t="s">
        <v>580</v>
      </c>
      <c r="E46" s="14" t="s">
        <v>73</v>
      </c>
      <c r="F46" s="14" t="s">
        <v>366</v>
      </c>
      <c r="G46" s="16">
        <v>1</v>
      </c>
      <c r="H46" s="17"/>
      <c r="I46" s="18">
        <v>60000</v>
      </c>
      <c r="J46" s="12">
        <f t="shared" si="2"/>
        <v>0</v>
      </c>
      <c r="K46" s="46">
        <f t="shared" si="3"/>
        <v>60000</v>
      </c>
      <c r="L46" s="185" t="s">
        <v>503</v>
      </c>
    </row>
    <row r="47" spans="1:13" ht="39.950000000000003" customHeight="1" thickBot="1">
      <c r="A47" s="141"/>
      <c r="B47" s="395" t="s">
        <v>75</v>
      </c>
      <c r="C47" s="396"/>
      <c r="D47" s="397"/>
      <c r="E47" s="397"/>
      <c r="F47" s="397"/>
      <c r="G47" s="56">
        <f>SUM(G8:G46)</f>
        <v>106</v>
      </c>
      <c r="H47" s="57"/>
      <c r="I47" s="58"/>
      <c r="J47" s="56">
        <f>SUM(J8:J46)</f>
        <v>4320000000</v>
      </c>
      <c r="K47" s="59">
        <f>SUM(K8:K46)</f>
        <v>2032010</v>
      </c>
      <c r="L47" s="143"/>
      <c r="M47" s="6"/>
    </row>
    <row r="48" spans="1:13" ht="24.75" thickBot="1"/>
    <row r="49" spans="1:12" hidden="1"/>
    <row r="50" spans="1:12" ht="24.75" hidden="1" thickBot="1"/>
    <row r="51" spans="1:12" ht="58.5" customHeight="1">
      <c r="A51" s="137"/>
      <c r="B51" s="493" t="s">
        <v>243</v>
      </c>
      <c r="C51" s="494"/>
      <c r="D51" s="495"/>
      <c r="E51" s="495"/>
      <c r="F51" s="495"/>
      <c r="G51" s="495"/>
      <c r="H51" s="495"/>
      <c r="I51" s="495"/>
      <c r="J51" s="495"/>
      <c r="K51" s="496"/>
      <c r="L51" s="139"/>
    </row>
    <row r="52" spans="1:12" ht="3" customHeight="1">
      <c r="A52" s="140"/>
      <c r="B52" s="42"/>
      <c r="C52" s="160"/>
      <c r="D52" s="108"/>
      <c r="E52" s="160"/>
      <c r="F52" s="162"/>
      <c r="G52" s="162"/>
      <c r="H52" s="162"/>
      <c r="I52" s="162"/>
      <c r="J52" s="162"/>
      <c r="K52" s="67"/>
      <c r="L52" s="67"/>
    </row>
    <row r="53" spans="1:12" ht="69.95" customHeight="1">
      <c r="A53" s="180" t="s">
        <v>506</v>
      </c>
      <c r="B53" s="43" t="s">
        <v>35</v>
      </c>
      <c r="C53" s="149"/>
      <c r="D53" s="109" t="s">
        <v>523</v>
      </c>
      <c r="E53" s="149" t="s">
        <v>37</v>
      </c>
      <c r="F53" s="149" t="s">
        <v>38</v>
      </c>
      <c r="G53" s="149" t="s">
        <v>39</v>
      </c>
      <c r="H53" s="149" t="s">
        <v>40</v>
      </c>
      <c r="I53" s="149" t="s">
        <v>41</v>
      </c>
      <c r="J53" s="149" t="s">
        <v>42</v>
      </c>
      <c r="K53" s="150" t="s">
        <v>43</v>
      </c>
      <c r="L53" s="181" t="s">
        <v>480</v>
      </c>
    </row>
    <row r="54" spans="1:12" ht="69.95" customHeight="1">
      <c r="A54" s="220" t="s">
        <v>587</v>
      </c>
      <c r="B54" s="47">
        <v>1</v>
      </c>
      <c r="C54" s="165" t="s">
        <v>450</v>
      </c>
      <c r="D54" s="15" t="s">
        <v>244</v>
      </c>
      <c r="E54" s="14" t="s">
        <v>233</v>
      </c>
      <c r="F54" s="14" t="s">
        <v>233</v>
      </c>
      <c r="G54" s="16">
        <v>1</v>
      </c>
      <c r="H54" s="17">
        <v>0</v>
      </c>
      <c r="I54" s="18">
        <v>270000</v>
      </c>
      <c r="J54" s="17">
        <f t="shared" ref="J54:J85" si="4">G54*H54</f>
        <v>0</v>
      </c>
      <c r="K54" s="48">
        <f t="shared" ref="K54:K85" si="5">G54*I54</f>
        <v>270000</v>
      </c>
      <c r="L54" s="178" t="s">
        <v>367</v>
      </c>
    </row>
    <row r="55" spans="1:12" ht="69.95" customHeight="1">
      <c r="A55" s="220" t="s">
        <v>587</v>
      </c>
      <c r="B55" s="45">
        <v>2</v>
      </c>
      <c r="C55" s="165" t="s">
        <v>470</v>
      </c>
      <c r="D55" s="10" t="s">
        <v>245</v>
      </c>
      <c r="E55" s="9" t="s">
        <v>116</v>
      </c>
      <c r="F55" s="9" t="s">
        <v>157</v>
      </c>
      <c r="G55" s="11">
        <v>1</v>
      </c>
      <c r="H55" s="12">
        <v>0</v>
      </c>
      <c r="I55" s="13">
        <v>7600</v>
      </c>
      <c r="J55" s="12">
        <f t="shared" si="4"/>
        <v>0</v>
      </c>
      <c r="K55" s="46">
        <f t="shared" si="5"/>
        <v>7600</v>
      </c>
      <c r="L55" s="184" t="s">
        <v>355</v>
      </c>
    </row>
    <row r="56" spans="1:12" ht="69.95" customHeight="1">
      <c r="A56" s="220" t="s">
        <v>587</v>
      </c>
      <c r="B56" s="47">
        <v>3</v>
      </c>
      <c r="C56" s="500" t="s">
        <v>588</v>
      </c>
      <c r="D56" s="15" t="s">
        <v>246</v>
      </c>
      <c r="E56" s="14" t="s">
        <v>116</v>
      </c>
      <c r="F56" s="14" t="s">
        <v>157</v>
      </c>
      <c r="G56" s="16">
        <v>8</v>
      </c>
      <c r="H56" s="17">
        <v>0</v>
      </c>
      <c r="I56" s="18">
        <v>1310</v>
      </c>
      <c r="J56" s="17">
        <f t="shared" si="4"/>
        <v>0</v>
      </c>
      <c r="K56" s="48">
        <f t="shared" si="5"/>
        <v>10480</v>
      </c>
      <c r="L56" s="184" t="s">
        <v>355</v>
      </c>
    </row>
    <row r="57" spans="1:12" ht="69.95" customHeight="1">
      <c r="A57" s="220" t="s">
        <v>587</v>
      </c>
      <c r="B57" s="45">
        <v>4</v>
      </c>
      <c r="C57" s="500"/>
      <c r="D57" s="10" t="s">
        <v>247</v>
      </c>
      <c r="E57" s="9" t="s">
        <v>248</v>
      </c>
      <c r="F57" s="9" t="s">
        <v>157</v>
      </c>
      <c r="G57" s="11">
        <v>1</v>
      </c>
      <c r="H57" s="12">
        <v>0</v>
      </c>
      <c r="I57" s="13">
        <v>1900</v>
      </c>
      <c r="J57" s="12">
        <f t="shared" si="4"/>
        <v>0</v>
      </c>
      <c r="K57" s="46">
        <f t="shared" si="5"/>
        <v>1900</v>
      </c>
      <c r="L57" s="184" t="s">
        <v>355</v>
      </c>
    </row>
    <row r="58" spans="1:12" ht="69.95" customHeight="1">
      <c r="A58" s="220" t="s">
        <v>587</v>
      </c>
      <c r="B58" s="47">
        <v>5</v>
      </c>
      <c r="C58" s="500" t="s">
        <v>454</v>
      </c>
      <c r="D58" s="15" t="s">
        <v>249</v>
      </c>
      <c r="E58" s="14" t="s">
        <v>149</v>
      </c>
      <c r="F58" s="14" t="s">
        <v>157</v>
      </c>
      <c r="G58" s="16">
        <v>2</v>
      </c>
      <c r="H58" s="17">
        <v>0</v>
      </c>
      <c r="I58" s="18">
        <v>3400</v>
      </c>
      <c r="J58" s="17">
        <f t="shared" si="4"/>
        <v>0</v>
      </c>
      <c r="K58" s="48">
        <f t="shared" si="5"/>
        <v>6800</v>
      </c>
      <c r="L58" s="184" t="s">
        <v>355</v>
      </c>
    </row>
    <row r="59" spans="1:12" ht="69.95" customHeight="1">
      <c r="A59" s="220" t="s">
        <v>587</v>
      </c>
      <c r="B59" s="45">
        <v>6</v>
      </c>
      <c r="C59" s="500"/>
      <c r="D59" s="10" t="s">
        <v>250</v>
      </c>
      <c r="E59" s="9" t="s">
        <v>129</v>
      </c>
      <c r="F59" s="9" t="s">
        <v>157</v>
      </c>
      <c r="G59" s="11">
        <v>1</v>
      </c>
      <c r="H59" s="12">
        <v>0</v>
      </c>
      <c r="I59" s="13">
        <v>3100</v>
      </c>
      <c r="J59" s="12">
        <f t="shared" si="4"/>
        <v>0</v>
      </c>
      <c r="K59" s="46">
        <f t="shared" si="5"/>
        <v>3100</v>
      </c>
      <c r="L59" s="184" t="s">
        <v>355</v>
      </c>
    </row>
    <row r="60" spans="1:12" ht="69.95" customHeight="1">
      <c r="A60" s="220" t="s">
        <v>587</v>
      </c>
      <c r="B60" s="47">
        <v>7</v>
      </c>
      <c r="C60" s="500" t="s">
        <v>589</v>
      </c>
      <c r="D60" s="15" t="s">
        <v>251</v>
      </c>
      <c r="E60" s="14" t="s">
        <v>52</v>
      </c>
      <c r="F60" s="14" t="s">
        <v>157</v>
      </c>
      <c r="G60" s="16">
        <v>4</v>
      </c>
      <c r="H60" s="17">
        <v>0</v>
      </c>
      <c r="I60" s="18">
        <v>75000</v>
      </c>
      <c r="J60" s="17">
        <f t="shared" si="4"/>
        <v>0</v>
      </c>
      <c r="K60" s="48">
        <f t="shared" si="5"/>
        <v>300000</v>
      </c>
      <c r="L60" s="184" t="s">
        <v>605</v>
      </c>
    </row>
    <row r="61" spans="1:12" ht="69.95" customHeight="1">
      <c r="A61" s="220" t="s">
        <v>587</v>
      </c>
      <c r="B61" s="45">
        <v>8</v>
      </c>
      <c r="C61" s="500"/>
      <c r="D61" s="10" t="s">
        <v>252</v>
      </c>
      <c r="E61" s="9" t="s">
        <v>52</v>
      </c>
      <c r="F61" s="9" t="s">
        <v>157</v>
      </c>
      <c r="G61" s="11">
        <v>2</v>
      </c>
      <c r="H61" s="12">
        <v>0</v>
      </c>
      <c r="I61" s="13">
        <v>73000</v>
      </c>
      <c r="J61" s="12">
        <f t="shared" si="4"/>
        <v>0</v>
      </c>
      <c r="K61" s="46">
        <f t="shared" si="5"/>
        <v>146000</v>
      </c>
      <c r="L61" s="184" t="s">
        <v>605</v>
      </c>
    </row>
    <row r="62" spans="1:12" ht="69.95" customHeight="1">
      <c r="A62" s="220" t="s">
        <v>587</v>
      </c>
      <c r="B62" s="47">
        <v>9</v>
      </c>
      <c r="C62" s="165" t="s">
        <v>590</v>
      </c>
      <c r="D62" s="15" t="s">
        <v>253</v>
      </c>
      <c r="E62" s="14" t="s">
        <v>116</v>
      </c>
      <c r="F62" s="14" t="s">
        <v>157</v>
      </c>
      <c r="G62" s="16">
        <v>4</v>
      </c>
      <c r="H62" s="17">
        <v>0</v>
      </c>
      <c r="I62" s="18">
        <v>1300</v>
      </c>
      <c r="J62" s="17">
        <f t="shared" si="4"/>
        <v>0</v>
      </c>
      <c r="K62" s="48">
        <f t="shared" si="5"/>
        <v>5200</v>
      </c>
      <c r="L62" s="184" t="s">
        <v>355</v>
      </c>
    </row>
    <row r="63" spans="1:12" ht="69.95" customHeight="1">
      <c r="A63" s="220" t="s">
        <v>587</v>
      </c>
      <c r="B63" s="45">
        <v>10</v>
      </c>
      <c r="C63" s="500" t="s">
        <v>591</v>
      </c>
      <c r="D63" s="10" t="s">
        <v>254</v>
      </c>
      <c r="E63" s="9" t="s">
        <v>255</v>
      </c>
      <c r="F63" s="9" t="s">
        <v>157</v>
      </c>
      <c r="G63" s="11">
        <v>9</v>
      </c>
      <c r="H63" s="12">
        <v>0</v>
      </c>
      <c r="I63" s="13">
        <v>4300</v>
      </c>
      <c r="J63" s="12">
        <f t="shared" si="4"/>
        <v>0</v>
      </c>
      <c r="K63" s="46">
        <f t="shared" si="5"/>
        <v>38700</v>
      </c>
      <c r="L63" s="184" t="s">
        <v>355</v>
      </c>
    </row>
    <row r="64" spans="1:12" ht="69.95" customHeight="1">
      <c r="A64" s="220" t="s">
        <v>587</v>
      </c>
      <c r="B64" s="47">
        <v>11</v>
      </c>
      <c r="C64" s="500"/>
      <c r="D64" s="15" t="s">
        <v>256</v>
      </c>
      <c r="E64" s="14" t="s">
        <v>255</v>
      </c>
      <c r="F64" s="14" t="s">
        <v>157</v>
      </c>
      <c r="G64" s="16">
        <v>10</v>
      </c>
      <c r="H64" s="17">
        <v>0</v>
      </c>
      <c r="I64" s="18">
        <v>3600</v>
      </c>
      <c r="J64" s="17">
        <f t="shared" si="4"/>
        <v>0</v>
      </c>
      <c r="K64" s="48">
        <f t="shared" si="5"/>
        <v>36000</v>
      </c>
      <c r="L64" s="184" t="s">
        <v>355</v>
      </c>
    </row>
    <row r="65" spans="1:12" ht="69.95" customHeight="1">
      <c r="A65" s="220" t="s">
        <v>587</v>
      </c>
      <c r="B65" s="45">
        <v>12</v>
      </c>
      <c r="C65" s="500" t="s">
        <v>592</v>
      </c>
      <c r="D65" s="10" t="s">
        <v>257</v>
      </c>
      <c r="E65" s="9" t="s">
        <v>255</v>
      </c>
      <c r="F65" s="9" t="s">
        <v>157</v>
      </c>
      <c r="G65" s="11">
        <v>1</v>
      </c>
      <c r="H65" s="12">
        <v>0</v>
      </c>
      <c r="I65" s="13">
        <v>3100</v>
      </c>
      <c r="J65" s="12">
        <f t="shared" si="4"/>
        <v>0</v>
      </c>
      <c r="K65" s="46">
        <f t="shared" si="5"/>
        <v>3100</v>
      </c>
      <c r="L65" s="184" t="s">
        <v>355</v>
      </c>
    </row>
    <row r="66" spans="1:12" ht="69.95" customHeight="1">
      <c r="A66" s="220" t="s">
        <v>587</v>
      </c>
      <c r="B66" s="47">
        <v>13</v>
      </c>
      <c r="C66" s="500"/>
      <c r="D66" s="15" t="s">
        <v>258</v>
      </c>
      <c r="E66" s="14" t="s">
        <v>255</v>
      </c>
      <c r="F66" s="14" t="s">
        <v>157</v>
      </c>
      <c r="G66" s="16">
        <v>2</v>
      </c>
      <c r="H66" s="17">
        <v>0</v>
      </c>
      <c r="I66" s="18">
        <v>3160</v>
      </c>
      <c r="J66" s="17">
        <f t="shared" si="4"/>
        <v>0</v>
      </c>
      <c r="K66" s="48">
        <f t="shared" si="5"/>
        <v>6320</v>
      </c>
      <c r="L66" s="184" t="s">
        <v>355</v>
      </c>
    </row>
    <row r="67" spans="1:12" ht="69.95" customHeight="1">
      <c r="A67" s="220" t="s">
        <v>587</v>
      </c>
      <c r="B67" s="45">
        <v>14</v>
      </c>
      <c r="C67" s="165" t="s">
        <v>593</v>
      </c>
      <c r="D67" s="10" t="s">
        <v>259</v>
      </c>
      <c r="E67" s="9" t="s">
        <v>116</v>
      </c>
      <c r="F67" s="9" t="s">
        <v>157</v>
      </c>
      <c r="G67" s="11">
        <v>22</v>
      </c>
      <c r="H67" s="12">
        <v>0</v>
      </c>
      <c r="I67" s="13">
        <v>230</v>
      </c>
      <c r="J67" s="12">
        <f t="shared" si="4"/>
        <v>0</v>
      </c>
      <c r="K67" s="46">
        <f t="shared" si="5"/>
        <v>5060</v>
      </c>
      <c r="L67" s="184" t="s">
        <v>355</v>
      </c>
    </row>
    <row r="68" spans="1:12" ht="69.95" customHeight="1">
      <c r="A68" s="220" t="s">
        <v>587</v>
      </c>
      <c r="B68" s="47">
        <v>15</v>
      </c>
      <c r="C68" s="165" t="s">
        <v>457</v>
      </c>
      <c r="D68" s="15" t="s">
        <v>260</v>
      </c>
      <c r="E68" s="14" t="s">
        <v>116</v>
      </c>
      <c r="F68" s="14" t="s">
        <v>157</v>
      </c>
      <c r="G68" s="16">
        <v>19</v>
      </c>
      <c r="H68" s="17">
        <v>0</v>
      </c>
      <c r="I68" s="18">
        <v>980</v>
      </c>
      <c r="J68" s="17">
        <f t="shared" si="4"/>
        <v>0</v>
      </c>
      <c r="K68" s="48">
        <f t="shared" si="5"/>
        <v>18620</v>
      </c>
      <c r="L68" s="184" t="s">
        <v>355</v>
      </c>
    </row>
    <row r="69" spans="1:12" ht="69.95" customHeight="1">
      <c r="A69" s="220" t="s">
        <v>587</v>
      </c>
      <c r="B69" s="45">
        <v>16</v>
      </c>
      <c r="C69" s="165" t="s">
        <v>594</v>
      </c>
      <c r="D69" s="10" t="s">
        <v>261</v>
      </c>
      <c r="E69" s="9" t="s">
        <v>116</v>
      </c>
      <c r="F69" s="9" t="s">
        <v>157</v>
      </c>
      <c r="G69" s="11">
        <v>25</v>
      </c>
      <c r="H69" s="12">
        <v>0</v>
      </c>
      <c r="I69" s="13">
        <v>3230</v>
      </c>
      <c r="J69" s="12">
        <f t="shared" si="4"/>
        <v>0</v>
      </c>
      <c r="K69" s="46">
        <f t="shared" si="5"/>
        <v>80750</v>
      </c>
      <c r="L69" s="184" t="s">
        <v>355</v>
      </c>
    </row>
    <row r="70" spans="1:12" ht="69.95" customHeight="1">
      <c r="A70" s="220" t="s">
        <v>587</v>
      </c>
      <c r="B70" s="47">
        <v>17</v>
      </c>
      <c r="C70" s="165" t="s">
        <v>595</v>
      </c>
      <c r="D70" s="15" t="s">
        <v>262</v>
      </c>
      <c r="E70" s="14" t="s">
        <v>116</v>
      </c>
      <c r="F70" s="14" t="s">
        <v>157</v>
      </c>
      <c r="G70" s="16">
        <v>1</v>
      </c>
      <c r="H70" s="17">
        <v>0</v>
      </c>
      <c r="I70" s="18">
        <v>620</v>
      </c>
      <c r="J70" s="17">
        <f t="shared" si="4"/>
        <v>0</v>
      </c>
      <c r="K70" s="48">
        <f t="shared" si="5"/>
        <v>620</v>
      </c>
      <c r="L70" s="184" t="s">
        <v>355</v>
      </c>
    </row>
    <row r="71" spans="1:12" ht="69.95" customHeight="1">
      <c r="A71" s="220" t="s">
        <v>587</v>
      </c>
      <c r="B71" s="45">
        <v>18</v>
      </c>
      <c r="C71" s="500" t="s">
        <v>596</v>
      </c>
      <c r="D71" s="10" t="s">
        <v>263</v>
      </c>
      <c r="E71" s="9" t="s">
        <v>116</v>
      </c>
      <c r="F71" s="9" t="s">
        <v>157</v>
      </c>
      <c r="G71" s="11">
        <v>4</v>
      </c>
      <c r="H71" s="12">
        <v>0</v>
      </c>
      <c r="I71" s="13">
        <v>2700</v>
      </c>
      <c r="J71" s="12">
        <f t="shared" si="4"/>
        <v>0</v>
      </c>
      <c r="K71" s="46">
        <f t="shared" si="5"/>
        <v>10800</v>
      </c>
      <c r="L71" s="184" t="s">
        <v>605</v>
      </c>
    </row>
    <row r="72" spans="1:12" ht="69.95" customHeight="1">
      <c r="A72" s="220" t="s">
        <v>587</v>
      </c>
      <c r="B72" s="47">
        <v>19</v>
      </c>
      <c r="C72" s="500"/>
      <c r="D72" s="15" t="s">
        <v>263</v>
      </c>
      <c r="E72" s="14" t="s">
        <v>116</v>
      </c>
      <c r="F72" s="14" t="s">
        <v>157</v>
      </c>
      <c r="G72" s="16">
        <v>2</v>
      </c>
      <c r="H72" s="17">
        <v>0</v>
      </c>
      <c r="I72" s="18">
        <v>2400</v>
      </c>
      <c r="J72" s="17">
        <f t="shared" si="4"/>
        <v>0</v>
      </c>
      <c r="K72" s="48">
        <f t="shared" si="5"/>
        <v>4800</v>
      </c>
      <c r="L72" s="184" t="s">
        <v>605</v>
      </c>
    </row>
    <row r="73" spans="1:12" ht="69.95" customHeight="1">
      <c r="A73" s="220" t="s">
        <v>587</v>
      </c>
      <c r="B73" s="45">
        <v>20</v>
      </c>
      <c r="C73" s="165" t="s">
        <v>460</v>
      </c>
      <c r="D73" s="10" t="s">
        <v>264</v>
      </c>
      <c r="E73" s="9" t="s">
        <v>116</v>
      </c>
      <c r="F73" s="9" t="s">
        <v>157</v>
      </c>
      <c r="G73" s="11">
        <v>3</v>
      </c>
      <c r="H73" s="12">
        <v>0</v>
      </c>
      <c r="I73" s="13">
        <v>2100</v>
      </c>
      <c r="J73" s="12">
        <f t="shared" si="4"/>
        <v>0</v>
      </c>
      <c r="K73" s="46">
        <f t="shared" si="5"/>
        <v>6300</v>
      </c>
      <c r="L73" s="184" t="s">
        <v>355</v>
      </c>
    </row>
    <row r="74" spans="1:12" ht="69.95" customHeight="1">
      <c r="A74" s="220" t="s">
        <v>587</v>
      </c>
      <c r="B74" s="47">
        <v>21</v>
      </c>
      <c r="C74" s="500" t="s">
        <v>597</v>
      </c>
      <c r="D74" s="15" t="s">
        <v>265</v>
      </c>
      <c r="E74" s="14" t="s">
        <v>54</v>
      </c>
      <c r="F74" s="14" t="s">
        <v>157</v>
      </c>
      <c r="G74" s="16">
        <v>4</v>
      </c>
      <c r="H74" s="17">
        <v>0</v>
      </c>
      <c r="I74" s="18">
        <v>14900</v>
      </c>
      <c r="J74" s="17">
        <f t="shared" si="4"/>
        <v>0</v>
      </c>
      <c r="K74" s="48">
        <f t="shared" si="5"/>
        <v>59600</v>
      </c>
      <c r="L74" s="184" t="s">
        <v>355</v>
      </c>
    </row>
    <row r="75" spans="1:12" ht="69.95" customHeight="1">
      <c r="A75" s="220" t="s">
        <v>587</v>
      </c>
      <c r="B75" s="45">
        <v>22</v>
      </c>
      <c r="C75" s="500"/>
      <c r="D75" s="10" t="s">
        <v>266</v>
      </c>
      <c r="E75" s="9" t="s">
        <v>52</v>
      </c>
      <c r="F75" s="9" t="s">
        <v>157</v>
      </c>
      <c r="G75" s="11">
        <v>1</v>
      </c>
      <c r="H75" s="12">
        <v>0</v>
      </c>
      <c r="I75" s="13">
        <v>17800</v>
      </c>
      <c r="J75" s="12">
        <f t="shared" si="4"/>
        <v>0</v>
      </c>
      <c r="K75" s="46">
        <f t="shared" si="5"/>
        <v>17800</v>
      </c>
      <c r="L75" s="184" t="s">
        <v>355</v>
      </c>
    </row>
    <row r="76" spans="1:12" ht="69.95" customHeight="1">
      <c r="A76" s="220" t="s">
        <v>587</v>
      </c>
      <c r="B76" s="47">
        <v>23</v>
      </c>
      <c r="C76" s="500"/>
      <c r="D76" s="15" t="s">
        <v>267</v>
      </c>
      <c r="E76" s="14" t="s">
        <v>50</v>
      </c>
      <c r="F76" s="14" t="s">
        <v>157</v>
      </c>
      <c r="G76" s="16">
        <v>1</v>
      </c>
      <c r="H76" s="17">
        <v>0</v>
      </c>
      <c r="I76" s="18">
        <v>15600</v>
      </c>
      <c r="J76" s="17">
        <f t="shared" si="4"/>
        <v>0</v>
      </c>
      <c r="K76" s="48">
        <f t="shared" si="5"/>
        <v>15600</v>
      </c>
      <c r="L76" s="184" t="s">
        <v>355</v>
      </c>
    </row>
    <row r="77" spans="1:12" ht="69.95" customHeight="1">
      <c r="A77" s="220" t="s">
        <v>587</v>
      </c>
      <c r="B77" s="45">
        <v>24</v>
      </c>
      <c r="C77" s="500"/>
      <c r="D77" s="10" t="s">
        <v>268</v>
      </c>
      <c r="E77" s="9" t="s">
        <v>45</v>
      </c>
      <c r="F77" s="9" t="s">
        <v>157</v>
      </c>
      <c r="G77" s="11">
        <v>1</v>
      </c>
      <c r="H77" s="12">
        <v>0</v>
      </c>
      <c r="I77" s="13">
        <v>11600</v>
      </c>
      <c r="J77" s="12">
        <f t="shared" si="4"/>
        <v>0</v>
      </c>
      <c r="K77" s="46">
        <f t="shared" si="5"/>
        <v>11600</v>
      </c>
      <c r="L77" s="184" t="s">
        <v>355</v>
      </c>
    </row>
    <row r="78" spans="1:12" ht="69.95" customHeight="1">
      <c r="A78" s="220" t="s">
        <v>587</v>
      </c>
      <c r="B78" s="47">
        <v>25</v>
      </c>
      <c r="C78" s="500"/>
      <c r="D78" s="15" t="s">
        <v>269</v>
      </c>
      <c r="E78" s="14" t="s">
        <v>234</v>
      </c>
      <c r="F78" s="14" t="s">
        <v>157</v>
      </c>
      <c r="G78" s="16">
        <v>1</v>
      </c>
      <c r="H78" s="17">
        <v>0</v>
      </c>
      <c r="I78" s="18">
        <v>7800</v>
      </c>
      <c r="J78" s="17">
        <f t="shared" si="4"/>
        <v>0</v>
      </c>
      <c r="K78" s="48">
        <f t="shared" si="5"/>
        <v>7800</v>
      </c>
      <c r="L78" s="184" t="s">
        <v>355</v>
      </c>
    </row>
    <row r="79" spans="1:12" ht="69.95" customHeight="1">
      <c r="A79" s="220" t="s">
        <v>587</v>
      </c>
      <c r="B79" s="45">
        <v>26</v>
      </c>
      <c r="C79" s="500"/>
      <c r="D79" s="10" t="s">
        <v>270</v>
      </c>
      <c r="E79" s="9" t="s">
        <v>54</v>
      </c>
      <c r="F79" s="9" t="s">
        <v>157</v>
      </c>
      <c r="G79" s="11">
        <v>11</v>
      </c>
      <c r="H79" s="12">
        <v>0</v>
      </c>
      <c r="I79" s="13">
        <v>16700</v>
      </c>
      <c r="J79" s="12">
        <f t="shared" si="4"/>
        <v>0</v>
      </c>
      <c r="K79" s="46">
        <f t="shared" si="5"/>
        <v>183700</v>
      </c>
      <c r="L79" s="184" t="s">
        <v>355</v>
      </c>
    </row>
    <row r="80" spans="1:12" ht="69.95" customHeight="1">
      <c r="A80" s="220" t="s">
        <v>587</v>
      </c>
      <c r="B80" s="47">
        <v>27</v>
      </c>
      <c r="C80" s="500"/>
      <c r="D80" s="15" t="s">
        <v>271</v>
      </c>
      <c r="E80" s="14" t="s">
        <v>50</v>
      </c>
      <c r="F80" s="14" t="s">
        <v>157</v>
      </c>
      <c r="G80" s="16">
        <v>1</v>
      </c>
      <c r="H80" s="17">
        <v>0</v>
      </c>
      <c r="I80" s="18">
        <v>18900</v>
      </c>
      <c r="J80" s="17">
        <f t="shared" si="4"/>
        <v>0</v>
      </c>
      <c r="K80" s="48">
        <f t="shared" si="5"/>
        <v>18900</v>
      </c>
      <c r="L80" s="184" t="s">
        <v>355</v>
      </c>
    </row>
    <row r="81" spans="1:12" ht="69.95" customHeight="1">
      <c r="A81" s="220" t="s">
        <v>587</v>
      </c>
      <c r="B81" s="45">
        <v>28</v>
      </c>
      <c r="C81" s="500"/>
      <c r="D81" s="10" t="s">
        <v>272</v>
      </c>
      <c r="E81" s="9" t="s">
        <v>45</v>
      </c>
      <c r="F81" s="9" t="s">
        <v>157</v>
      </c>
      <c r="G81" s="11">
        <v>1</v>
      </c>
      <c r="H81" s="12">
        <v>0</v>
      </c>
      <c r="I81" s="13">
        <v>14950</v>
      </c>
      <c r="J81" s="12">
        <f t="shared" si="4"/>
        <v>0</v>
      </c>
      <c r="K81" s="46">
        <f t="shared" si="5"/>
        <v>14950</v>
      </c>
      <c r="L81" s="184" t="s">
        <v>355</v>
      </c>
    </row>
    <row r="82" spans="1:12" ht="69.95" customHeight="1">
      <c r="A82" s="220" t="s">
        <v>587</v>
      </c>
      <c r="B82" s="47">
        <v>29</v>
      </c>
      <c r="C82" s="500"/>
      <c r="D82" s="15" t="s">
        <v>273</v>
      </c>
      <c r="E82" s="14" t="s">
        <v>54</v>
      </c>
      <c r="F82" s="14" t="s">
        <v>157</v>
      </c>
      <c r="G82" s="16">
        <v>6</v>
      </c>
      <c r="H82" s="17">
        <v>0</v>
      </c>
      <c r="I82" s="18">
        <v>13800</v>
      </c>
      <c r="J82" s="17">
        <f t="shared" si="4"/>
        <v>0</v>
      </c>
      <c r="K82" s="48">
        <f t="shared" si="5"/>
        <v>82800</v>
      </c>
      <c r="L82" s="184" t="s">
        <v>355</v>
      </c>
    </row>
    <row r="83" spans="1:12" ht="69.95" customHeight="1">
      <c r="A83" s="220" t="s">
        <v>587</v>
      </c>
      <c r="B83" s="45">
        <v>30</v>
      </c>
      <c r="C83" s="500"/>
      <c r="D83" s="10" t="s">
        <v>274</v>
      </c>
      <c r="E83" s="9" t="s">
        <v>79</v>
      </c>
      <c r="F83" s="9" t="s">
        <v>157</v>
      </c>
      <c r="G83" s="11">
        <v>1</v>
      </c>
      <c r="H83" s="12">
        <v>0</v>
      </c>
      <c r="I83" s="13">
        <v>18400</v>
      </c>
      <c r="J83" s="12">
        <f t="shared" si="4"/>
        <v>0</v>
      </c>
      <c r="K83" s="46">
        <f t="shared" si="5"/>
        <v>18400</v>
      </c>
      <c r="L83" s="184" t="s">
        <v>355</v>
      </c>
    </row>
    <row r="84" spans="1:12" ht="69.95" customHeight="1">
      <c r="A84" s="220" t="s">
        <v>587</v>
      </c>
      <c r="B84" s="47">
        <v>31</v>
      </c>
      <c r="C84" s="500"/>
      <c r="D84" s="15" t="s">
        <v>275</v>
      </c>
      <c r="E84" s="14" t="s">
        <v>81</v>
      </c>
      <c r="F84" s="14" t="s">
        <v>157</v>
      </c>
      <c r="G84" s="16">
        <v>2</v>
      </c>
      <c r="H84" s="17">
        <v>0</v>
      </c>
      <c r="I84" s="18">
        <v>29800</v>
      </c>
      <c r="J84" s="17">
        <f t="shared" si="4"/>
        <v>0</v>
      </c>
      <c r="K84" s="48">
        <f t="shared" si="5"/>
        <v>59600</v>
      </c>
      <c r="L84" s="184" t="s">
        <v>355</v>
      </c>
    </row>
    <row r="85" spans="1:12" ht="69.95" customHeight="1">
      <c r="A85" s="220" t="s">
        <v>587</v>
      </c>
      <c r="B85" s="45">
        <v>32</v>
      </c>
      <c r="C85" s="500"/>
      <c r="D85" s="10" t="s">
        <v>276</v>
      </c>
      <c r="E85" s="9" t="s">
        <v>52</v>
      </c>
      <c r="F85" s="9" t="s">
        <v>157</v>
      </c>
      <c r="G85" s="11">
        <v>3</v>
      </c>
      <c r="H85" s="12">
        <v>0</v>
      </c>
      <c r="I85" s="13">
        <v>15700</v>
      </c>
      <c r="J85" s="12">
        <f t="shared" si="4"/>
        <v>0</v>
      </c>
      <c r="K85" s="46">
        <f t="shared" si="5"/>
        <v>47100</v>
      </c>
      <c r="L85" s="184" t="s">
        <v>355</v>
      </c>
    </row>
    <row r="86" spans="1:12" ht="69.95" customHeight="1">
      <c r="A86" s="220" t="s">
        <v>587</v>
      </c>
      <c r="B86" s="47">
        <v>33</v>
      </c>
      <c r="C86" s="500"/>
      <c r="D86" s="15" t="s">
        <v>277</v>
      </c>
      <c r="E86" s="14" t="s">
        <v>50</v>
      </c>
      <c r="F86" s="14" t="s">
        <v>157</v>
      </c>
      <c r="G86" s="16">
        <v>7</v>
      </c>
      <c r="H86" s="17">
        <v>0</v>
      </c>
      <c r="I86" s="18">
        <v>11700</v>
      </c>
      <c r="J86" s="17">
        <f t="shared" ref="J86:J106" si="6">G86*H86</f>
        <v>0</v>
      </c>
      <c r="K86" s="48">
        <f t="shared" ref="K86:K106" si="7">G86*I86</f>
        <v>81900</v>
      </c>
      <c r="L86" s="184" t="s">
        <v>355</v>
      </c>
    </row>
    <row r="87" spans="1:12" ht="69.95" customHeight="1">
      <c r="A87" s="220" t="s">
        <v>587</v>
      </c>
      <c r="B87" s="45">
        <v>34</v>
      </c>
      <c r="C87" s="500"/>
      <c r="D87" s="10" t="s">
        <v>278</v>
      </c>
      <c r="E87" s="9" t="s">
        <v>45</v>
      </c>
      <c r="F87" s="9" t="s">
        <v>157</v>
      </c>
      <c r="G87" s="11">
        <v>1</v>
      </c>
      <c r="H87" s="12">
        <v>0</v>
      </c>
      <c r="I87" s="13">
        <v>9750</v>
      </c>
      <c r="J87" s="12">
        <f t="shared" si="6"/>
        <v>0</v>
      </c>
      <c r="K87" s="46">
        <f t="shared" si="7"/>
        <v>9750</v>
      </c>
      <c r="L87" s="184" t="s">
        <v>355</v>
      </c>
    </row>
    <row r="88" spans="1:12" ht="69.95" customHeight="1">
      <c r="A88" s="220" t="s">
        <v>587</v>
      </c>
      <c r="B88" s="47">
        <v>35</v>
      </c>
      <c r="C88" s="500"/>
      <c r="D88" s="15" t="s">
        <v>279</v>
      </c>
      <c r="E88" s="14" t="s">
        <v>52</v>
      </c>
      <c r="F88" s="14" t="s">
        <v>157</v>
      </c>
      <c r="G88" s="16">
        <v>1</v>
      </c>
      <c r="H88" s="17">
        <v>0</v>
      </c>
      <c r="I88" s="18">
        <v>21900</v>
      </c>
      <c r="J88" s="17">
        <f t="shared" si="6"/>
        <v>0</v>
      </c>
      <c r="K88" s="48">
        <f t="shared" si="7"/>
        <v>21900</v>
      </c>
      <c r="L88" s="184" t="s">
        <v>355</v>
      </c>
    </row>
    <row r="89" spans="1:12" ht="69.95" customHeight="1">
      <c r="A89" s="220" t="s">
        <v>587</v>
      </c>
      <c r="B89" s="45">
        <v>36</v>
      </c>
      <c r="C89" s="500" t="s">
        <v>462</v>
      </c>
      <c r="D89" s="10" t="s">
        <v>280</v>
      </c>
      <c r="E89" s="9" t="s">
        <v>52</v>
      </c>
      <c r="F89" s="9" t="s">
        <v>157</v>
      </c>
      <c r="G89" s="11">
        <v>4</v>
      </c>
      <c r="H89" s="12">
        <v>0</v>
      </c>
      <c r="I89" s="13">
        <v>6100</v>
      </c>
      <c r="J89" s="12">
        <f t="shared" si="6"/>
        <v>0</v>
      </c>
      <c r="K89" s="46">
        <f t="shared" si="7"/>
        <v>24400</v>
      </c>
      <c r="L89" s="184" t="s">
        <v>605</v>
      </c>
    </row>
    <row r="90" spans="1:12" ht="69.95" customHeight="1">
      <c r="A90" s="220" t="s">
        <v>587</v>
      </c>
      <c r="B90" s="47">
        <v>37</v>
      </c>
      <c r="C90" s="500"/>
      <c r="D90" s="15" t="s">
        <v>281</v>
      </c>
      <c r="E90" s="14" t="s">
        <v>52</v>
      </c>
      <c r="F90" s="14" t="s">
        <v>157</v>
      </c>
      <c r="G90" s="16">
        <v>2</v>
      </c>
      <c r="H90" s="17">
        <v>0</v>
      </c>
      <c r="I90" s="18">
        <v>6100</v>
      </c>
      <c r="J90" s="17">
        <f t="shared" si="6"/>
        <v>0</v>
      </c>
      <c r="K90" s="48">
        <f t="shared" si="7"/>
        <v>12200</v>
      </c>
      <c r="L90" s="184" t="s">
        <v>605</v>
      </c>
    </row>
    <row r="91" spans="1:12" ht="69.95" customHeight="1">
      <c r="A91" s="220" t="s">
        <v>587</v>
      </c>
      <c r="B91" s="45">
        <v>38</v>
      </c>
      <c r="C91" s="500" t="s">
        <v>598</v>
      </c>
      <c r="D91" s="10" t="s">
        <v>282</v>
      </c>
      <c r="E91" s="9" t="s">
        <v>50</v>
      </c>
      <c r="F91" s="9" t="s">
        <v>157</v>
      </c>
      <c r="G91" s="11">
        <v>1</v>
      </c>
      <c r="H91" s="12">
        <v>0</v>
      </c>
      <c r="I91" s="13">
        <v>31700</v>
      </c>
      <c r="J91" s="12">
        <f t="shared" si="6"/>
        <v>0</v>
      </c>
      <c r="K91" s="46">
        <f t="shared" si="7"/>
        <v>31700</v>
      </c>
      <c r="L91" s="184" t="s">
        <v>355</v>
      </c>
    </row>
    <row r="92" spans="1:12" ht="69.95" customHeight="1">
      <c r="A92" s="220" t="s">
        <v>587</v>
      </c>
      <c r="B92" s="47">
        <v>39</v>
      </c>
      <c r="C92" s="500"/>
      <c r="D92" s="15" t="s">
        <v>283</v>
      </c>
      <c r="E92" s="14" t="s">
        <v>50</v>
      </c>
      <c r="F92" s="14" t="s">
        <v>157</v>
      </c>
      <c r="G92" s="16">
        <v>2</v>
      </c>
      <c r="H92" s="17">
        <v>0</v>
      </c>
      <c r="I92" s="18">
        <v>36750</v>
      </c>
      <c r="J92" s="17">
        <f t="shared" si="6"/>
        <v>0</v>
      </c>
      <c r="K92" s="48">
        <f t="shared" si="7"/>
        <v>73500</v>
      </c>
      <c r="L92" s="184" t="s">
        <v>355</v>
      </c>
    </row>
    <row r="93" spans="1:12" ht="69.95" customHeight="1">
      <c r="A93" s="220" t="s">
        <v>587</v>
      </c>
      <c r="B93" s="45">
        <v>40</v>
      </c>
      <c r="C93" s="165" t="s">
        <v>464</v>
      </c>
      <c r="D93" s="10" t="s">
        <v>284</v>
      </c>
      <c r="E93" s="9" t="s">
        <v>116</v>
      </c>
      <c r="F93" s="9" t="s">
        <v>157</v>
      </c>
      <c r="G93" s="11">
        <v>3</v>
      </c>
      <c r="H93" s="12">
        <v>0</v>
      </c>
      <c r="I93" s="13">
        <v>1680</v>
      </c>
      <c r="J93" s="12">
        <f t="shared" si="6"/>
        <v>0</v>
      </c>
      <c r="K93" s="46">
        <f t="shared" si="7"/>
        <v>5040</v>
      </c>
      <c r="L93" s="184" t="s">
        <v>355</v>
      </c>
    </row>
    <row r="94" spans="1:12" ht="69.95" customHeight="1">
      <c r="A94" s="220" t="s">
        <v>587</v>
      </c>
      <c r="B94" s="47">
        <v>41</v>
      </c>
      <c r="C94" s="165" t="s">
        <v>599</v>
      </c>
      <c r="D94" s="15" t="s">
        <v>285</v>
      </c>
      <c r="E94" s="14" t="s">
        <v>238</v>
      </c>
      <c r="F94" s="14" t="s">
        <v>157</v>
      </c>
      <c r="G94" s="16">
        <v>1</v>
      </c>
      <c r="H94" s="17">
        <v>0</v>
      </c>
      <c r="I94" s="18">
        <v>4000</v>
      </c>
      <c r="J94" s="17">
        <f t="shared" si="6"/>
        <v>0</v>
      </c>
      <c r="K94" s="48">
        <f t="shared" si="7"/>
        <v>4000</v>
      </c>
      <c r="L94" s="184" t="s">
        <v>355</v>
      </c>
    </row>
    <row r="95" spans="1:12" ht="69.95" customHeight="1">
      <c r="A95" s="220" t="s">
        <v>587</v>
      </c>
      <c r="B95" s="45">
        <v>42</v>
      </c>
      <c r="C95" s="165" t="s">
        <v>465</v>
      </c>
      <c r="D95" s="10" t="s">
        <v>286</v>
      </c>
      <c r="E95" s="9" t="s">
        <v>52</v>
      </c>
      <c r="F95" s="9" t="s">
        <v>157</v>
      </c>
      <c r="G95" s="11">
        <v>2</v>
      </c>
      <c r="H95" s="12">
        <v>0</v>
      </c>
      <c r="I95" s="13">
        <v>29700</v>
      </c>
      <c r="J95" s="12">
        <f t="shared" si="6"/>
        <v>0</v>
      </c>
      <c r="K95" s="46">
        <f t="shared" si="7"/>
        <v>59400</v>
      </c>
      <c r="L95" s="184" t="s">
        <v>355</v>
      </c>
    </row>
    <row r="96" spans="1:12" ht="69.95" customHeight="1">
      <c r="A96" s="220" t="s">
        <v>587</v>
      </c>
      <c r="B96" s="47">
        <v>43</v>
      </c>
      <c r="C96" s="165" t="s">
        <v>600</v>
      </c>
      <c r="D96" s="15" t="s">
        <v>235</v>
      </c>
      <c r="E96" s="14" t="s">
        <v>116</v>
      </c>
      <c r="F96" s="14" t="s">
        <v>157</v>
      </c>
      <c r="G96" s="16">
        <v>2</v>
      </c>
      <c r="H96" s="17">
        <v>0</v>
      </c>
      <c r="I96" s="18">
        <v>83500</v>
      </c>
      <c r="J96" s="17">
        <f t="shared" si="6"/>
        <v>0</v>
      </c>
      <c r="K96" s="48">
        <f t="shared" si="7"/>
        <v>167000</v>
      </c>
      <c r="L96" s="184" t="s">
        <v>355</v>
      </c>
    </row>
    <row r="97" spans="1:12" ht="69.95" customHeight="1">
      <c r="A97" s="220" t="s">
        <v>587</v>
      </c>
      <c r="B97" s="45">
        <v>44</v>
      </c>
      <c r="C97" s="165" t="s">
        <v>601</v>
      </c>
      <c r="D97" s="10" t="s">
        <v>287</v>
      </c>
      <c r="E97" s="9" t="s">
        <v>116</v>
      </c>
      <c r="F97" s="9" t="s">
        <v>157</v>
      </c>
      <c r="G97" s="11">
        <v>4</v>
      </c>
      <c r="H97" s="12">
        <v>1850000000</v>
      </c>
      <c r="I97" s="13">
        <v>0</v>
      </c>
      <c r="J97" s="12">
        <f t="shared" si="6"/>
        <v>7400000000</v>
      </c>
      <c r="K97" s="46">
        <f t="shared" si="7"/>
        <v>0</v>
      </c>
      <c r="L97" s="184" t="s">
        <v>355</v>
      </c>
    </row>
    <row r="98" spans="1:12" ht="69.95" customHeight="1">
      <c r="A98" s="220" t="s">
        <v>587</v>
      </c>
      <c r="B98" s="47">
        <v>45</v>
      </c>
      <c r="C98" s="165" t="s">
        <v>602</v>
      </c>
      <c r="D98" s="15" t="s">
        <v>288</v>
      </c>
      <c r="E98" s="14" t="s">
        <v>236</v>
      </c>
      <c r="F98" s="14" t="s">
        <v>157</v>
      </c>
      <c r="G98" s="16">
        <v>36</v>
      </c>
      <c r="H98" s="17">
        <v>350000000</v>
      </c>
      <c r="I98" s="18">
        <v>0</v>
      </c>
      <c r="J98" s="17">
        <f t="shared" si="6"/>
        <v>12600000000</v>
      </c>
      <c r="K98" s="48">
        <f t="shared" si="7"/>
        <v>0</v>
      </c>
      <c r="L98" s="184" t="s">
        <v>355</v>
      </c>
    </row>
    <row r="99" spans="1:12" ht="69.95" customHeight="1">
      <c r="A99" s="220" t="s">
        <v>587</v>
      </c>
      <c r="B99" s="45">
        <v>46</v>
      </c>
      <c r="C99" s="165" t="s">
        <v>603</v>
      </c>
      <c r="D99" s="10" t="s">
        <v>237</v>
      </c>
      <c r="E99" s="9" t="s">
        <v>116</v>
      </c>
      <c r="F99" s="9" t="s">
        <v>157</v>
      </c>
      <c r="G99" s="11">
        <v>6</v>
      </c>
      <c r="H99" s="12">
        <v>0</v>
      </c>
      <c r="I99" s="13">
        <v>1700</v>
      </c>
      <c r="J99" s="12">
        <f t="shared" si="6"/>
        <v>0</v>
      </c>
      <c r="K99" s="46">
        <f t="shared" si="7"/>
        <v>10200</v>
      </c>
      <c r="L99" s="184" t="s">
        <v>355</v>
      </c>
    </row>
    <row r="100" spans="1:12" ht="69.95" customHeight="1">
      <c r="A100" s="220" t="s">
        <v>587</v>
      </c>
      <c r="B100" s="47">
        <v>47</v>
      </c>
      <c r="C100" s="165" t="s">
        <v>451</v>
      </c>
      <c r="D100" s="15" t="s">
        <v>289</v>
      </c>
      <c r="E100" s="14" t="s">
        <v>116</v>
      </c>
      <c r="F100" s="14" t="s">
        <v>187</v>
      </c>
      <c r="G100" s="16">
        <v>1</v>
      </c>
      <c r="H100" s="17">
        <v>0</v>
      </c>
      <c r="I100" s="18">
        <v>200000</v>
      </c>
      <c r="J100" s="17">
        <f t="shared" si="6"/>
        <v>0</v>
      </c>
      <c r="K100" s="48">
        <f t="shared" si="7"/>
        <v>200000</v>
      </c>
      <c r="L100" s="221" t="s">
        <v>368</v>
      </c>
    </row>
    <row r="101" spans="1:12" ht="69.95" customHeight="1">
      <c r="A101" s="220" t="s">
        <v>587</v>
      </c>
      <c r="B101" s="45">
        <v>48</v>
      </c>
      <c r="C101" s="165" t="s">
        <v>604</v>
      </c>
      <c r="D101" s="10" t="s">
        <v>290</v>
      </c>
      <c r="E101" s="9" t="s">
        <v>116</v>
      </c>
      <c r="F101" s="9" t="s">
        <v>187</v>
      </c>
      <c r="G101" s="11">
        <v>3</v>
      </c>
      <c r="H101" s="12">
        <v>0</v>
      </c>
      <c r="I101" s="79">
        <v>4200</v>
      </c>
      <c r="J101" s="80">
        <f t="shared" si="6"/>
        <v>0</v>
      </c>
      <c r="K101" s="84">
        <f t="shared" si="7"/>
        <v>12600</v>
      </c>
      <c r="L101" s="184" t="s">
        <v>606</v>
      </c>
    </row>
    <row r="102" spans="1:12" ht="69.95" customHeight="1">
      <c r="A102" s="220" t="s">
        <v>587</v>
      </c>
      <c r="B102" s="47">
        <v>49</v>
      </c>
      <c r="C102" s="165" t="s">
        <v>471</v>
      </c>
      <c r="D102" s="15" t="s">
        <v>239</v>
      </c>
      <c r="E102" s="14" t="s">
        <v>116</v>
      </c>
      <c r="F102" s="14" t="s">
        <v>187</v>
      </c>
      <c r="G102" s="16">
        <v>1</v>
      </c>
      <c r="H102" s="17">
        <v>0</v>
      </c>
      <c r="I102" s="18">
        <v>75000</v>
      </c>
      <c r="J102" s="17">
        <f t="shared" si="6"/>
        <v>0</v>
      </c>
      <c r="K102" s="48">
        <f t="shared" si="7"/>
        <v>75000</v>
      </c>
      <c r="L102" s="184" t="s">
        <v>607</v>
      </c>
    </row>
    <row r="103" spans="1:12" ht="69.95" customHeight="1">
      <c r="A103" s="220" t="s">
        <v>587</v>
      </c>
      <c r="B103" s="45">
        <v>50</v>
      </c>
      <c r="C103" s="165" t="s">
        <v>472</v>
      </c>
      <c r="D103" s="10" t="s">
        <v>240</v>
      </c>
      <c r="E103" s="9" t="s">
        <v>116</v>
      </c>
      <c r="F103" s="9" t="s">
        <v>187</v>
      </c>
      <c r="G103" s="11">
        <v>1</v>
      </c>
      <c r="H103" s="12">
        <v>0</v>
      </c>
      <c r="I103" s="13">
        <v>120000</v>
      </c>
      <c r="J103" s="12">
        <f t="shared" si="6"/>
        <v>0</v>
      </c>
      <c r="K103" s="46">
        <f t="shared" si="7"/>
        <v>120000</v>
      </c>
      <c r="L103" s="184" t="s">
        <v>608</v>
      </c>
    </row>
    <row r="104" spans="1:12" ht="69.95" customHeight="1">
      <c r="A104" s="220" t="s">
        <v>587</v>
      </c>
      <c r="B104" s="47">
        <v>51</v>
      </c>
      <c r="C104" s="165" t="s">
        <v>473</v>
      </c>
      <c r="D104" s="15" t="s">
        <v>241</v>
      </c>
      <c r="E104" s="14" t="s">
        <v>116</v>
      </c>
      <c r="F104" s="14" t="s">
        <v>187</v>
      </c>
      <c r="G104" s="16">
        <v>1</v>
      </c>
      <c r="H104" s="17">
        <v>0</v>
      </c>
      <c r="I104" s="18">
        <v>153550</v>
      </c>
      <c r="J104" s="17">
        <f t="shared" si="6"/>
        <v>0</v>
      </c>
      <c r="K104" s="48">
        <f t="shared" si="7"/>
        <v>153550</v>
      </c>
      <c r="L104" s="184" t="s">
        <v>609</v>
      </c>
    </row>
    <row r="105" spans="1:12" ht="69.95" customHeight="1">
      <c r="A105" s="220" t="s">
        <v>587</v>
      </c>
      <c r="B105" s="45">
        <v>52</v>
      </c>
      <c r="C105" s="165" t="s">
        <v>474</v>
      </c>
      <c r="D105" s="10" t="s">
        <v>242</v>
      </c>
      <c r="E105" s="9" t="s">
        <v>116</v>
      </c>
      <c r="F105" s="9" t="s">
        <v>187</v>
      </c>
      <c r="G105" s="11">
        <v>1</v>
      </c>
      <c r="H105" s="12">
        <v>0</v>
      </c>
      <c r="I105" s="13">
        <v>177000</v>
      </c>
      <c r="J105" s="12">
        <f t="shared" si="6"/>
        <v>0</v>
      </c>
      <c r="K105" s="46">
        <f t="shared" si="7"/>
        <v>177000</v>
      </c>
      <c r="L105" s="184" t="s">
        <v>610</v>
      </c>
    </row>
    <row r="106" spans="1:12" ht="69.95" customHeight="1">
      <c r="A106" s="220" t="s">
        <v>587</v>
      </c>
      <c r="B106" s="47">
        <v>53</v>
      </c>
      <c r="C106" s="14" t="s">
        <v>549</v>
      </c>
      <c r="D106" s="15" t="s">
        <v>291</v>
      </c>
      <c r="E106" s="14" t="s">
        <v>73</v>
      </c>
      <c r="F106" s="14" t="s">
        <v>131</v>
      </c>
      <c r="G106" s="16">
        <v>1</v>
      </c>
      <c r="H106" s="17">
        <v>0</v>
      </c>
      <c r="I106" s="18">
        <v>5000</v>
      </c>
      <c r="J106" s="17">
        <f t="shared" si="6"/>
        <v>0</v>
      </c>
      <c r="K106" s="48">
        <f t="shared" si="7"/>
        <v>5000</v>
      </c>
      <c r="L106" s="185" t="s">
        <v>503</v>
      </c>
    </row>
    <row r="107" spans="1:12" ht="39.950000000000003" customHeight="1" thickBot="1">
      <c r="A107" s="141"/>
      <c r="B107" s="395" t="s">
        <v>75</v>
      </c>
      <c r="C107" s="396"/>
      <c r="D107" s="397"/>
      <c r="E107" s="397"/>
      <c r="F107" s="397"/>
      <c r="G107" s="56">
        <f>SUM(G54:G106)</f>
        <v>236</v>
      </c>
      <c r="H107" s="57"/>
      <c r="I107" s="58"/>
      <c r="J107" s="56">
        <f>SUM(J54:J106)</f>
        <v>20000000000</v>
      </c>
      <c r="K107" s="59">
        <f>SUM(K54:K106)</f>
        <v>2744140</v>
      </c>
      <c r="L107" s="143"/>
    </row>
    <row r="108" spans="1:12" ht="24.75" thickBot="1"/>
    <row r="109" spans="1:12" hidden="1"/>
    <row r="110" spans="1:12" ht="24.75" hidden="1" thickBot="1"/>
    <row r="111" spans="1:12" ht="53.25" customHeight="1">
      <c r="A111" s="137"/>
      <c r="B111" s="493" t="s">
        <v>292</v>
      </c>
      <c r="C111" s="494"/>
      <c r="D111" s="495"/>
      <c r="E111" s="495"/>
      <c r="F111" s="495"/>
      <c r="G111" s="495"/>
      <c r="H111" s="495"/>
      <c r="I111" s="495"/>
      <c r="J111" s="495"/>
      <c r="K111" s="496"/>
      <c r="L111" s="139"/>
    </row>
    <row r="112" spans="1:12" ht="18" customHeight="1">
      <c r="A112" s="140"/>
      <c r="B112" s="42"/>
      <c r="C112" s="160"/>
      <c r="D112" s="108"/>
      <c r="E112" s="160"/>
      <c r="F112" s="162"/>
      <c r="G112" s="162"/>
      <c r="H112" s="162"/>
      <c r="I112" s="162"/>
      <c r="J112" s="162"/>
      <c r="K112" s="67"/>
      <c r="L112" s="67"/>
    </row>
    <row r="113" spans="1:12" ht="27.95" customHeight="1">
      <c r="A113" s="180" t="s">
        <v>506</v>
      </c>
      <c r="B113" s="43" t="s">
        <v>35</v>
      </c>
      <c r="C113" s="149"/>
      <c r="D113" s="109" t="s">
        <v>523</v>
      </c>
      <c r="E113" s="149" t="s">
        <v>37</v>
      </c>
      <c r="F113" s="149" t="s">
        <v>38</v>
      </c>
      <c r="G113" s="149" t="s">
        <v>39</v>
      </c>
      <c r="H113" s="149" t="s">
        <v>40</v>
      </c>
      <c r="I113" s="149" t="s">
        <v>41</v>
      </c>
      <c r="J113" s="149" t="s">
        <v>42</v>
      </c>
      <c r="K113" s="150" t="s">
        <v>43</v>
      </c>
      <c r="L113" s="181" t="s">
        <v>480</v>
      </c>
    </row>
    <row r="114" spans="1:12" ht="159" customHeight="1">
      <c r="A114" s="246" t="s">
        <v>611</v>
      </c>
      <c r="B114" s="47">
        <v>1</v>
      </c>
      <c r="C114" s="14" t="s">
        <v>615</v>
      </c>
      <c r="D114" s="15" t="s">
        <v>293</v>
      </c>
      <c r="E114" s="14" t="s">
        <v>294</v>
      </c>
      <c r="F114" s="14" t="s">
        <v>295</v>
      </c>
      <c r="G114" s="16">
        <v>4000</v>
      </c>
      <c r="H114" s="17">
        <v>580000</v>
      </c>
      <c r="I114" s="18">
        <v>0</v>
      </c>
      <c r="J114" s="17">
        <f>G114*H114</f>
        <v>2320000000</v>
      </c>
      <c r="K114" s="48">
        <f>G114*I114</f>
        <v>0</v>
      </c>
      <c r="L114" s="187" t="s">
        <v>614</v>
      </c>
    </row>
    <row r="115" spans="1:12" ht="105" customHeight="1">
      <c r="A115" s="246" t="s">
        <v>611</v>
      </c>
      <c r="B115" s="45">
        <v>2</v>
      </c>
      <c r="C115" s="9" t="s">
        <v>616</v>
      </c>
      <c r="D115" s="10" t="s">
        <v>296</v>
      </c>
      <c r="E115" s="9" t="s">
        <v>116</v>
      </c>
      <c r="F115" s="9" t="s">
        <v>197</v>
      </c>
      <c r="G115" s="11">
        <v>10</v>
      </c>
      <c r="H115" s="12">
        <v>10000000</v>
      </c>
      <c r="I115" s="13">
        <v>0</v>
      </c>
      <c r="J115" s="12">
        <f>G115*H115</f>
        <v>100000000</v>
      </c>
      <c r="K115" s="46">
        <f>G115*I115</f>
        <v>0</v>
      </c>
      <c r="L115" s="247" t="s">
        <v>612</v>
      </c>
    </row>
    <row r="116" spans="1:12" ht="114.75" customHeight="1">
      <c r="A116" s="246" t="s">
        <v>611</v>
      </c>
      <c r="B116" s="47">
        <v>3</v>
      </c>
      <c r="C116" s="14" t="s">
        <v>549</v>
      </c>
      <c r="D116" s="15" t="s">
        <v>297</v>
      </c>
      <c r="E116" s="14" t="s">
        <v>73</v>
      </c>
      <c r="F116" s="14" t="s">
        <v>349</v>
      </c>
      <c r="G116" s="16">
        <v>1</v>
      </c>
      <c r="H116" s="17">
        <v>0</v>
      </c>
      <c r="I116" s="18">
        <v>0</v>
      </c>
      <c r="J116" s="17">
        <f>G116*H116</f>
        <v>0</v>
      </c>
      <c r="K116" s="48">
        <f>G116*I116</f>
        <v>0</v>
      </c>
      <c r="L116" s="248" t="s">
        <v>613</v>
      </c>
    </row>
    <row r="117" spans="1:12" ht="26.1" customHeight="1" thickBot="1">
      <c r="A117" s="141"/>
      <c r="B117" s="395" t="s">
        <v>75</v>
      </c>
      <c r="C117" s="396"/>
      <c r="D117" s="397"/>
      <c r="E117" s="397"/>
      <c r="F117" s="397"/>
      <c r="G117" s="56">
        <f>SUM(G114:G116)</f>
        <v>4011</v>
      </c>
      <c r="H117" s="57"/>
      <c r="I117" s="58"/>
      <c r="J117" s="56">
        <f>SUM(J114:J116)</f>
        <v>2420000000</v>
      </c>
      <c r="K117" s="59">
        <f>SUM(K114:K116)</f>
        <v>0</v>
      </c>
      <c r="L117" s="143"/>
    </row>
  </sheetData>
  <mergeCells count="24">
    <mergeCell ref="C74:C88"/>
    <mergeCell ref="C89:C90"/>
    <mergeCell ref="C91:C92"/>
    <mergeCell ref="C63:C64"/>
    <mergeCell ref="C31:C32"/>
    <mergeCell ref="B51:K51"/>
    <mergeCell ref="C65:C66"/>
    <mergeCell ref="C71:C72"/>
    <mergeCell ref="B117:F117"/>
    <mergeCell ref="B111:K111"/>
    <mergeCell ref="K1:K2"/>
    <mergeCell ref="B5:K5"/>
    <mergeCell ref="E2:I2"/>
    <mergeCell ref="B47:F47"/>
    <mergeCell ref="E1:I1"/>
    <mergeCell ref="B3:D3"/>
    <mergeCell ref="B107:F107"/>
    <mergeCell ref="B1:B2"/>
    <mergeCell ref="C10:C11"/>
    <mergeCell ref="C14:C15"/>
    <mergeCell ref="C21:C30"/>
    <mergeCell ref="C56:C57"/>
    <mergeCell ref="C58:C59"/>
    <mergeCell ref="C60:C61"/>
  </mergeCells>
  <hyperlinks>
    <hyperlink ref="B3" location="Dashboard!A1" display="◀ بازگشت به داشبورد" xr:uid="{00000000-0004-0000-0400-000000000000}"/>
  </hyperlinks>
  <printOptions horizontalCentered="1" verticalCentered="1"/>
  <pageMargins left="0.1" right="0.1" top="0.1" bottom="0.1" header="0.1" footer="0.1"/>
  <pageSetup paperSize="8" scale="37" fitToHeight="0" orientation="landscape" r:id="rId1"/>
  <rowBreaks count="4" manualBreakCount="4">
    <brk id="48" max="11" man="1"/>
    <brk id="70" max="11" man="1"/>
    <brk id="88" max="11" man="1"/>
    <brk id="110" max="11" man="1"/>
  </rowBreaks>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9AB60-4D23-40CD-AAF6-FECE5444EECE}">
  <sheetPr>
    <pageSetUpPr fitToPage="1"/>
  </sheetPr>
  <dimension ref="A1:F11"/>
  <sheetViews>
    <sheetView rightToLeft="1" view="pageBreakPreview" zoomScale="25" zoomScaleNormal="85" zoomScaleSheetLayoutView="25" workbookViewId="0">
      <selection activeCell="V10" sqref="V10"/>
    </sheetView>
  </sheetViews>
  <sheetFormatPr defaultRowHeight="15"/>
  <cols>
    <col min="1" max="1" width="19.57031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83"/>
      <c r="C1" s="283"/>
      <c r="D1" s="283"/>
      <c r="E1" s="283"/>
      <c r="F1" s="284"/>
    </row>
    <row r="2" spans="1:6" ht="45" customHeight="1">
      <c r="A2" s="285"/>
      <c r="B2" s="286"/>
      <c r="C2" s="286"/>
      <c r="D2" s="286"/>
      <c r="E2" s="286"/>
      <c r="F2" s="287"/>
    </row>
    <row r="3" spans="1:6" ht="37.5" customHeight="1" thickBot="1">
      <c r="A3" s="285"/>
      <c r="B3" s="286"/>
      <c r="C3" s="286"/>
      <c r="D3" s="286"/>
      <c r="E3" s="286"/>
      <c r="F3" s="287"/>
    </row>
    <row r="4" spans="1:6" ht="307.5" customHeight="1">
      <c r="A4" s="285"/>
      <c r="B4" s="364" t="s">
        <v>761</v>
      </c>
      <c r="C4" s="365"/>
      <c r="D4" s="365"/>
      <c r="E4" s="366"/>
      <c r="F4" s="287"/>
    </row>
    <row r="5" spans="1:6" ht="409.6" customHeight="1">
      <c r="A5" s="285"/>
      <c r="B5" s="367"/>
      <c r="C5" s="368"/>
      <c r="D5" s="368"/>
      <c r="E5" s="369"/>
      <c r="F5" s="287"/>
    </row>
    <row r="6" spans="1:6" ht="165.75" customHeight="1">
      <c r="A6" s="285"/>
      <c r="B6" s="367"/>
      <c r="C6" s="368"/>
      <c r="D6" s="368"/>
      <c r="E6" s="369"/>
      <c r="F6" s="287"/>
    </row>
    <row r="7" spans="1:6" ht="321.75" customHeight="1">
      <c r="A7" s="285"/>
      <c r="B7" s="367"/>
      <c r="C7" s="368"/>
      <c r="D7" s="368"/>
      <c r="E7" s="369"/>
      <c r="F7" s="287"/>
    </row>
    <row r="8" spans="1:6" ht="370.5" customHeight="1">
      <c r="A8" s="285"/>
      <c r="B8" s="367"/>
      <c r="C8" s="368"/>
      <c r="D8" s="368"/>
      <c r="E8" s="369"/>
      <c r="F8" s="287"/>
    </row>
    <row r="9" spans="1:6" ht="204.75" customHeight="1">
      <c r="A9" s="285"/>
      <c r="B9" s="367"/>
      <c r="C9" s="368"/>
      <c r="D9" s="368"/>
      <c r="E9" s="369"/>
      <c r="F9" s="287"/>
    </row>
    <row r="10" spans="1:6" ht="189.75" customHeight="1" thickBot="1">
      <c r="A10" s="285"/>
      <c r="B10" s="370"/>
      <c r="C10" s="371"/>
      <c r="D10" s="371"/>
      <c r="E10" s="372"/>
      <c r="F10" s="287"/>
    </row>
    <row r="11" spans="1:6" ht="135.75" customHeight="1" thickBot="1">
      <c r="A11" s="288"/>
      <c r="B11" s="289"/>
      <c r="C11" s="289"/>
      <c r="D11" s="289"/>
      <c r="E11" s="289"/>
      <c r="F11" s="290"/>
    </row>
  </sheetData>
  <mergeCells count="1">
    <mergeCell ref="B4:E10"/>
  </mergeCells>
  <printOptions horizontalCentered="1" verticalCentered="1"/>
  <pageMargins left="0.1" right="0.1" top="0.1" bottom="0.1" header="0.1" footer="0.1"/>
  <pageSetup paperSize="8" scale="36"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pageSetUpPr fitToPage="1"/>
  </sheetPr>
  <dimension ref="A1:L40"/>
  <sheetViews>
    <sheetView showGridLines="0" view="pageBreakPreview" topLeftCell="A42" zoomScale="60" zoomScaleNormal="85" workbookViewId="0">
      <selection activeCell="L34" sqref="L34"/>
    </sheetView>
  </sheetViews>
  <sheetFormatPr defaultRowHeight="24"/>
  <cols>
    <col min="1" max="1" width="31.28515625" style="76" customWidth="1"/>
    <col min="2" max="2" width="13.42578125" bestFit="1" customWidth="1"/>
    <col min="3" max="3" width="45.28515625" style="4" bestFit="1" customWidth="1"/>
    <col min="4" max="4" width="65" style="4" customWidth="1"/>
    <col min="5" max="5" width="14.42578125" style="4" customWidth="1"/>
    <col min="6" max="6" width="10" style="4" customWidth="1"/>
    <col min="7" max="7" width="12" style="4" customWidth="1"/>
    <col min="8" max="9" width="20" style="4" customWidth="1"/>
    <col min="10" max="11" width="22" style="4" customWidth="1"/>
    <col min="12" max="12" width="68.28515625" style="4" bestFit="1" customWidth="1"/>
  </cols>
  <sheetData>
    <row r="1" spans="1:12" ht="27.95" customHeight="1">
      <c r="A1" s="137"/>
      <c r="B1" s="492"/>
      <c r="C1" s="38"/>
      <c r="D1" s="484"/>
      <c r="E1" s="326" t="s">
        <v>0</v>
      </c>
      <c r="F1" s="484"/>
      <c r="G1" s="484"/>
      <c r="H1" s="484"/>
      <c r="I1" s="484"/>
      <c r="J1" s="484"/>
      <c r="K1" s="484"/>
      <c r="L1" s="139"/>
    </row>
    <row r="2" spans="1:12" ht="27.95" customHeight="1" thickBot="1">
      <c r="A2" s="140"/>
      <c r="B2" s="462"/>
      <c r="C2" s="222"/>
      <c r="D2" s="458"/>
      <c r="E2" s="327" t="s">
        <v>298</v>
      </c>
      <c r="F2" s="489"/>
      <c r="G2" s="489"/>
      <c r="H2" s="489"/>
      <c r="I2" s="490"/>
      <c r="J2" s="458"/>
      <c r="K2" s="458"/>
      <c r="L2" s="67"/>
    </row>
    <row r="3" spans="1:12" ht="21.95" customHeight="1" thickBot="1">
      <c r="A3" s="140"/>
      <c r="B3" s="491" t="s">
        <v>33</v>
      </c>
      <c r="C3" s="382"/>
      <c r="D3" s="383"/>
      <c r="E3" s="162"/>
      <c r="F3" s="162"/>
      <c r="G3" s="162"/>
      <c r="H3" s="162"/>
      <c r="I3" s="162"/>
      <c r="J3" s="162"/>
      <c r="K3" s="5"/>
      <c r="L3" s="67"/>
    </row>
    <row r="4" spans="1:12" ht="15" customHeight="1" thickBot="1">
      <c r="A4" s="140"/>
      <c r="B4" s="1"/>
      <c r="C4" s="5"/>
      <c r="D4" s="5"/>
      <c r="E4" s="5"/>
      <c r="F4" s="5"/>
      <c r="G4" s="5"/>
      <c r="H4" s="5"/>
      <c r="I4" s="5"/>
      <c r="J4" s="5"/>
      <c r="K4" s="5"/>
      <c r="L4" s="67"/>
    </row>
    <row r="5" spans="1:12" ht="48" customHeight="1">
      <c r="A5" s="140"/>
      <c r="B5" s="485" t="s">
        <v>299</v>
      </c>
      <c r="C5" s="486"/>
      <c r="D5" s="487"/>
      <c r="E5" s="487"/>
      <c r="F5" s="487"/>
      <c r="G5" s="487"/>
      <c r="H5" s="487"/>
      <c r="I5" s="487"/>
      <c r="J5" s="487"/>
      <c r="K5" s="488"/>
      <c r="L5" s="67"/>
    </row>
    <row r="6" spans="1:12" ht="18" customHeight="1">
      <c r="A6" s="140"/>
      <c r="B6" s="42"/>
      <c r="C6" s="162"/>
      <c r="D6" s="162"/>
      <c r="E6" s="162"/>
      <c r="F6" s="162"/>
      <c r="G6" s="162"/>
      <c r="H6" s="162"/>
      <c r="I6" s="162"/>
      <c r="J6" s="162"/>
      <c r="K6" s="67"/>
      <c r="L6" s="67"/>
    </row>
    <row r="7" spans="1:12" ht="27.95" customHeight="1">
      <c r="A7" s="223" t="s">
        <v>506</v>
      </c>
      <c r="B7" s="149" t="s">
        <v>35</v>
      </c>
      <c r="C7" s="149" t="s">
        <v>393</v>
      </c>
      <c r="D7" s="149" t="s">
        <v>523</v>
      </c>
      <c r="E7" s="149" t="s">
        <v>37</v>
      </c>
      <c r="F7" s="149" t="s">
        <v>38</v>
      </c>
      <c r="G7" s="149" t="s">
        <v>39</v>
      </c>
      <c r="H7" s="149" t="s">
        <v>40</v>
      </c>
      <c r="I7" s="149" t="s">
        <v>41</v>
      </c>
      <c r="J7" s="149" t="s">
        <v>42</v>
      </c>
      <c r="K7" s="149" t="s">
        <v>43</v>
      </c>
      <c r="L7" s="224" t="s">
        <v>480</v>
      </c>
    </row>
    <row r="8" spans="1:12" ht="80.099999999999994" customHeight="1">
      <c r="A8" s="225" t="s">
        <v>617</v>
      </c>
      <c r="B8" s="9">
        <v>1</v>
      </c>
      <c r="C8" s="81" t="s">
        <v>619</v>
      </c>
      <c r="D8" s="9" t="s">
        <v>300</v>
      </c>
      <c r="E8" s="9" t="s">
        <v>301</v>
      </c>
      <c r="F8" s="9" t="s">
        <v>197</v>
      </c>
      <c r="G8" s="11">
        <v>1</v>
      </c>
      <c r="H8" s="12">
        <v>720000000</v>
      </c>
      <c r="I8" s="13">
        <v>0</v>
      </c>
      <c r="J8" s="12">
        <f t="shared" ref="J8:J13" si="0">G8*H8</f>
        <v>720000000</v>
      </c>
      <c r="K8" s="13">
        <f t="shared" ref="K8:K13" si="1">G8*I8</f>
        <v>0</v>
      </c>
      <c r="L8" s="226" t="s">
        <v>475</v>
      </c>
    </row>
    <row r="9" spans="1:12" ht="80.099999999999994" customHeight="1">
      <c r="A9" s="225" t="s">
        <v>617</v>
      </c>
      <c r="B9" s="14">
        <v>2</v>
      </c>
      <c r="C9" s="81" t="s">
        <v>620</v>
      </c>
      <c r="D9" s="14" t="s">
        <v>302</v>
      </c>
      <c r="E9" s="14" t="s">
        <v>303</v>
      </c>
      <c r="F9" s="14" t="s">
        <v>304</v>
      </c>
      <c r="G9" s="16">
        <v>190</v>
      </c>
      <c r="H9" s="17">
        <v>10000000</v>
      </c>
      <c r="I9" s="18">
        <v>0</v>
      </c>
      <c r="J9" s="17">
        <f t="shared" si="0"/>
        <v>1900000000</v>
      </c>
      <c r="K9" s="18">
        <f t="shared" si="1"/>
        <v>0</v>
      </c>
      <c r="L9" s="226" t="s">
        <v>476</v>
      </c>
    </row>
    <row r="10" spans="1:12" ht="80.099999999999994" customHeight="1">
      <c r="A10" s="225" t="s">
        <v>617</v>
      </c>
      <c r="B10" s="9">
        <v>3</v>
      </c>
      <c r="C10" s="81" t="s">
        <v>621</v>
      </c>
      <c r="D10" s="9" t="s">
        <v>305</v>
      </c>
      <c r="E10" s="9" t="s">
        <v>116</v>
      </c>
      <c r="F10" s="9" t="s">
        <v>304</v>
      </c>
      <c r="G10" s="11">
        <v>1</v>
      </c>
      <c r="H10" s="12">
        <v>6000000</v>
      </c>
      <c r="I10" s="13">
        <v>0</v>
      </c>
      <c r="J10" s="12">
        <f t="shared" si="0"/>
        <v>6000000</v>
      </c>
      <c r="K10" s="13">
        <f t="shared" si="1"/>
        <v>0</v>
      </c>
      <c r="L10" s="226" t="s">
        <v>477</v>
      </c>
    </row>
    <row r="11" spans="1:12" ht="80.099999999999994" customHeight="1">
      <c r="A11" s="225" t="s">
        <v>617</v>
      </c>
      <c r="B11" s="14">
        <v>4</v>
      </c>
      <c r="C11" s="81" t="s">
        <v>622</v>
      </c>
      <c r="D11" s="14" t="s">
        <v>306</v>
      </c>
      <c r="E11" s="14" t="s">
        <v>116</v>
      </c>
      <c r="F11" s="14" t="s">
        <v>307</v>
      </c>
      <c r="G11" s="16">
        <v>1000</v>
      </c>
      <c r="H11" s="17">
        <v>520000</v>
      </c>
      <c r="I11" s="18">
        <v>0</v>
      </c>
      <c r="J11" s="17">
        <f t="shared" si="0"/>
        <v>520000000</v>
      </c>
      <c r="K11" s="18">
        <f t="shared" si="1"/>
        <v>0</v>
      </c>
      <c r="L11" s="226" t="s">
        <v>478</v>
      </c>
    </row>
    <row r="12" spans="1:12" ht="80.099999999999994" customHeight="1">
      <c r="A12" s="225" t="s">
        <v>617</v>
      </c>
      <c r="B12" s="9">
        <v>5</v>
      </c>
      <c r="C12" s="81" t="s">
        <v>623</v>
      </c>
      <c r="D12" s="9" t="s">
        <v>308</v>
      </c>
      <c r="E12" s="9" t="s">
        <v>309</v>
      </c>
      <c r="F12" s="9" t="s">
        <v>304</v>
      </c>
      <c r="G12" s="11">
        <v>1</v>
      </c>
      <c r="H12" s="12">
        <v>110000000</v>
      </c>
      <c r="I12" s="13">
        <v>0</v>
      </c>
      <c r="J12" s="12">
        <f t="shared" si="0"/>
        <v>110000000</v>
      </c>
      <c r="K12" s="13">
        <f t="shared" si="1"/>
        <v>0</v>
      </c>
      <c r="L12" s="226" t="s">
        <v>479</v>
      </c>
    </row>
    <row r="13" spans="1:12" ht="80.099999999999994" customHeight="1">
      <c r="A13" s="225" t="s">
        <v>617</v>
      </c>
      <c r="B13" s="14">
        <v>6</v>
      </c>
      <c r="C13" s="111" t="s">
        <v>549</v>
      </c>
      <c r="D13" s="14" t="s">
        <v>310</v>
      </c>
      <c r="E13" s="14" t="s">
        <v>73</v>
      </c>
      <c r="F13" s="14" t="s">
        <v>131</v>
      </c>
      <c r="G13" s="16">
        <v>1</v>
      </c>
      <c r="H13" s="17">
        <v>1000000000</v>
      </c>
      <c r="I13" s="18">
        <v>0</v>
      </c>
      <c r="J13" s="17">
        <f t="shared" si="0"/>
        <v>1000000000</v>
      </c>
      <c r="K13" s="18">
        <f t="shared" si="1"/>
        <v>0</v>
      </c>
      <c r="L13" s="151" t="s">
        <v>618</v>
      </c>
    </row>
    <row r="14" spans="1:12" ht="39.75" customHeight="1" thickBot="1">
      <c r="A14" s="141"/>
      <c r="B14" s="395" t="s">
        <v>75</v>
      </c>
      <c r="C14" s="396"/>
      <c r="D14" s="397"/>
      <c r="E14" s="397"/>
      <c r="F14" s="397"/>
      <c r="G14" s="56">
        <f>SUM(G8:G13)</f>
        <v>1194</v>
      </c>
      <c r="H14" s="57"/>
      <c r="I14" s="58"/>
      <c r="J14" s="56">
        <f>SUM(J8:J13)</f>
        <v>4256000000</v>
      </c>
      <c r="K14" s="59">
        <f>SUM(K8:K13)</f>
        <v>0</v>
      </c>
      <c r="L14" s="143"/>
    </row>
    <row r="15" spans="1:12" ht="21.75" customHeight="1" thickBot="1"/>
    <row r="16" spans="1:12" ht="80.099999999999994" hidden="1" customHeight="1"/>
    <row r="17" spans="1:12" ht="80.099999999999994" hidden="1" customHeight="1"/>
    <row r="18" spans="1:12" ht="81" customHeight="1">
      <c r="A18" s="137"/>
      <c r="B18" s="485" t="s">
        <v>311</v>
      </c>
      <c r="C18" s="486"/>
      <c r="D18" s="487"/>
      <c r="E18" s="487"/>
      <c r="F18" s="487"/>
      <c r="G18" s="487"/>
      <c r="H18" s="487"/>
      <c r="I18" s="487"/>
      <c r="J18" s="487"/>
      <c r="K18" s="488"/>
      <c r="L18" s="139"/>
    </row>
    <row r="19" spans="1:12" ht="80.099999999999994" hidden="1" customHeight="1" thickBot="1">
      <c r="A19" s="140"/>
      <c r="B19" s="42"/>
      <c r="C19" s="162"/>
      <c r="D19" s="162"/>
      <c r="E19" s="162"/>
      <c r="F19" s="162"/>
      <c r="G19" s="162"/>
      <c r="H19" s="162"/>
      <c r="I19" s="162"/>
      <c r="J19" s="162"/>
      <c r="K19" s="67"/>
      <c r="L19" s="67"/>
    </row>
    <row r="20" spans="1:12" ht="80.099999999999994" customHeight="1">
      <c r="A20" s="180" t="s">
        <v>506</v>
      </c>
      <c r="B20" s="43" t="s">
        <v>35</v>
      </c>
      <c r="C20" s="149" t="s">
        <v>393</v>
      </c>
      <c r="D20" s="149" t="s">
        <v>523</v>
      </c>
      <c r="E20" s="149" t="s">
        <v>37</v>
      </c>
      <c r="F20" s="149" t="s">
        <v>38</v>
      </c>
      <c r="G20" s="149" t="s">
        <v>39</v>
      </c>
      <c r="H20" s="149" t="s">
        <v>40</v>
      </c>
      <c r="I20" s="149" t="s">
        <v>41</v>
      </c>
      <c r="J20" s="149" t="s">
        <v>42</v>
      </c>
      <c r="K20" s="150" t="s">
        <v>43</v>
      </c>
      <c r="L20" s="181" t="s">
        <v>480</v>
      </c>
    </row>
    <row r="21" spans="1:12" ht="80.099999999999994" customHeight="1">
      <c r="A21" s="227" t="s">
        <v>624</v>
      </c>
      <c r="B21" s="47">
        <v>1</v>
      </c>
      <c r="C21" s="81" t="s">
        <v>625</v>
      </c>
      <c r="D21" s="14" t="s">
        <v>300</v>
      </c>
      <c r="E21" s="14" t="s">
        <v>301</v>
      </c>
      <c r="F21" s="14" t="s">
        <v>197</v>
      </c>
      <c r="G21" s="16">
        <v>1</v>
      </c>
      <c r="H21" s="17">
        <v>720000000</v>
      </c>
      <c r="I21" s="18">
        <v>0</v>
      </c>
      <c r="J21" s="17">
        <f t="shared" ref="J21:J26" si="2">G21*H21</f>
        <v>720000000</v>
      </c>
      <c r="K21" s="48">
        <f t="shared" ref="K21:K26" si="3">G21*I21</f>
        <v>0</v>
      </c>
      <c r="L21" s="228" t="s">
        <v>632</v>
      </c>
    </row>
    <row r="22" spans="1:12" ht="80.099999999999994" customHeight="1">
      <c r="A22" s="227" t="s">
        <v>624</v>
      </c>
      <c r="B22" s="45">
        <v>2</v>
      </c>
      <c r="C22" s="81" t="s">
        <v>620</v>
      </c>
      <c r="D22" s="9" t="s">
        <v>302</v>
      </c>
      <c r="E22" s="9" t="s">
        <v>303</v>
      </c>
      <c r="F22" s="9" t="s">
        <v>304</v>
      </c>
      <c r="G22" s="11">
        <v>390</v>
      </c>
      <c r="H22" s="12">
        <v>10000000</v>
      </c>
      <c r="I22" s="13">
        <v>0</v>
      </c>
      <c r="J22" s="12">
        <f t="shared" si="2"/>
        <v>3900000000</v>
      </c>
      <c r="K22" s="46">
        <f t="shared" si="3"/>
        <v>0</v>
      </c>
      <c r="L22" s="228" t="s">
        <v>633</v>
      </c>
    </row>
    <row r="23" spans="1:12" ht="80.099999999999994" customHeight="1">
      <c r="A23" s="227" t="s">
        <v>624</v>
      </c>
      <c r="B23" s="47">
        <v>3</v>
      </c>
      <c r="C23" s="81" t="s">
        <v>621</v>
      </c>
      <c r="D23" s="14" t="s">
        <v>305</v>
      </c>
      <c r="E23" s="14" t="s">
        <v>116</v>
      </c>
      <c r="F23" s="14" t="s">
        <v>304</v>
      </c>
      <c r="G23" s="16">
        <v>1</v>
      </c>
      <c r="H23" s="17">
        <v>6000000</v>
      </c>
      <c r="I23" s="18">
        <v>0</v>
      </c>
      <c r="J23" s="17">
        <f t="shared" si="2"/>
        <v>6000000</v>
      </c>
      <c r="K23" s="48">
        <f t="shared" si="3"/>
        <v>0</v>
      </c>
      <c r="L23" s="228" t="s">
        <v>634</v>
      </c>
    </row>
    <row r="24" spans="1:12" ht="80.099999999999994" customHeight="1">
      <c r="A24" s="227" t="s">
        <v>624</v>
      </c>
      <c r="B24" s="45">
        <v>4</v>
      </c>
      <c r="C24" s="81" t="s">
        <v>622</v>
      </c>
      <c r="D24" s="9" t="s">
        <v>306</v>
      </c>
      <c r="E24" s="9" t="s">
        <v>116</v>
      </c>
      <c r="F24" s="9" t="s">
        <v>307</v>
      </c>
      <c r="G24" s="11">
        <v>1500</v>
      </c>
      <c r="H24" s="12">
        <v>520000</v>
      </c>
      <c r="I24" s="13">
        <v>0</v>
      </c>
      <c r="J24" s="12">
        <f t="shared" si="2"/>
        <v>780000000</v>
      </c>
      <c r="K24" s="46">
        <f t="shared" si="3"/>
        <v>0</v>
      </c>
      <c r="L24" s="228" t="s">
        <v>635</v>
      </c>
    </row>
    <row r="25" spans="1:12" ht="80.099999999999994" customHeight="1">
      <c r="A25" s="227" t="s">
        <v>624</v>
      </c>
      <c r="B25" s="47">
        <v>5</v>
      </c>
      <c r="C25" s="81" t="s">
        <v>623</v>
      </c>
      <c r="D25" s="14" t="s">
        <v>308</v>
      </c>
      <c r="E25" s="14" t="s">
        <v>309</v>
      </c>
      <c r="F25" s="14" t="s">
        <v>304</v>
      </c>
      <c r="G25" s="16">
        <v>1</v>
      </c>
      <c r="H25" s="17">
        <v>110000000</v>
      </c>
      <c r="I25" s="18">
        <v>0</v>
      </c>
      <c r="J25" s="17">
        <f t="shared" si="2"/>
        <v>110000000</v>
      </c>
      <c r="K25" s="48">
        <f t="shared" si="3"/>
        <v>0</v>
      </c>
      <c r="L25" s="228" t="s">
        <v>636</v>
      </c>
    </row>
    <row r="26" spans="1:12" ht="80.099999999999994" customHeight="1">
      <c r="A26" s="227" t="s">
        <v>624</v>
      </c>
      <c r="B26" s="45">
        <v>6</v>
      </c>
      <c r="C26" s="9" t="s">
        <v>549</v>
      </c>
      <c r="D26" s="9" t="s">
        <v>312</v>
      </c>
      <c r="E26" s="9" t="s">
        <v>73</v>
      </c>
      <c r="F26" s="9" t="s">
        <v>131</v>
      </c>
      <c r="G26" s="11">
        <v>1</v>
      </c>
      <c r="H26" s="12">
        <v>500000</v>
      </c>
      <c r="I26" s="13">
        <v>0</v>
      </c>
      <c r="J26" s="12">
        <f t="shared" si="2"/>
        <v>500000</v>
      </c>
      <c r="K26" s="46">
        <f t="shared" si="3"/>
        <v>0</v>
      </c>
      <c r="L26" s="229" t="s">
        <v>618</v>
      </c>
    </row>
    <row r="27" spans="1:12" ht="34.5" customHeight="1" thickBot="1">
      <c r="A27" s="141"/>
      <c r="B27" s="395" t="s">
        <v>75</v>
      </c>
      <c r="C27" s="396"/>
      <c r="D27" s="397"/>
      <c r="E27" s="397"/>
      <c r="F27" s="397"/>
      <c r="G27" s="56">
        <f>SUM(G21:G26)</f>
        <v>1894</v>
      </c>
      <c r="H27" s="57"/>
      <c r="I27" s="58"/>
      <c r="J27" s="56">
        <f>SUM(J21:J26)</f>
        <v>5516500000</v>
      </c>
      <c r="K27" s="59">
        <f>SUM(K21:K26)</f>
        <v>0</v>
      </c>
      <c r="L27" s="143"/>
    </row>
    <row r="28" spans="1:12" ht="80.099999999999994" hidden="1" customHeight="1"/>
    <row r="29" spans="1:12" ht="80.099999999999994" hidden="1" customHeight="1"/>
    <row r="30" spans="1:12" ht="21.75" customHeight="1" thickBot="1"/>
    <row r="31" spans="1:12" ht="61.5" customHeight="1">
      <c r="A31" s="137"/>
      <c r="B31" s="485" t="s">
        <v>313</v>
      </c>
      <c r="C31" s="486"/>
      <c r="D31" s="487"/>
      <c r="E31" s="487"/>
      <c r="F31" s="487"/>
      <c r="G31" s="487"/>
      <c r="H31" s="487"/>
      <c r="I31" s="487"/>
      <c r="J31" s="487"/>
      <c r="K31" s="488"/>
      <c r="L31" s="139"/>
    </row>
    <row r="32" spans="1:12" ht="80.099999999999994" hidden="1" customHeight="1" thickBot="1">
      <c r="A32" s="140"/>
      <c r="B32" s="42"/>
      <c r="C32" s="162"/>
      <c r="D32" s="162"/>
      <c r="E32" s="162"/>
      <c r="F32" s="162"/>
      <c r="G32" s="162"/>
      <c r="H32" s="162"/>
      <c r="I32" s="162"/>
      <c r="J32" s="162"/>
      <c r="K32" s="67"/>
      <c r="L32" s="67"/>
    </row>
    <row r="33" spans="1:12" ht="80.099999999999994" customHeight="1">
      <c r="A33" s="180" t="s">
        <v>506</v>
      </c>
      <c r="B33" s="43" t="s">
        <v>35</v>
      </c>
      <c r="C33" s="149"/>
      <c r="D33" s="149" t="s">
        <v>523</v>
      </c>
      <c r="E33" s="149" t="s">
        <v>37</v>
      </c>
      <c r="F33" s="149" t="s">
        <v>38</v>
      </c>
      <c r="G33" s="149" t="s">
        <v>39</v>
      </c>
      <c r="H33" s="149" t="s">
        <v>40</v>
      </c>
      <c r="I33" s="149" t="s">
        <v>41</v>
      </c>
      <c r="J33" s="149" t="s">
        <v>42</v>
      </c>
      <c r="K33" s="150" t="s">
        <v>43</v>
      </c>
      <c r="L33" s="181" t="s">
        <v>480</v>
      </c>
    </row>
    <row r="34" spans="1:12" ht="80.099999999999994" customHeight="1">
      <c r="A34" s="230" t="s">
        <v>626</v>
      </c>
      <c r="B34" s="45">
        <v>1</v>
      </c>
      <c r="C34" s="81" t="s">
        <v>627</v>
      </c>
      <c r="D34" s="9" t="s">
        <v>314</v>
      </c>
      <c r="E34" s="9" t="s">
        <v>315</v>
      </c>
      <c r="F34" s="9" t="s">
        <v>157</v>
      </c>
      <c r="G34" s="11">
        <v>60</v>
      </c>
      <c r="H34" s="12">
        <v>48000000</v>
      </c>
      <c r="I34" s="13">
        <v>0</v>
      </c>
      <c r="J34" s="12">
        <f t="shared" ref="J34:J39" si="4">G34*H34</f>
        <v>2880000000</v>
      </c>
      <c r="K34" s="46">
        <f t="shared" ref="K34:K39" si="5">G34*I34</f>
        <v>0</v>
      </c>
      <c r="L34" s="231" t="s">
        <v>637</v>
      </c>
    </row>
    <row r="35" spans="1:12" ht="80.099999999999994" customHeight="1">
      <c r="A35" s="230" t="s">
        <v>626</v>
      </c>
      <c r="B35" s="47">
        <v>2</v>
      </c>
      <c r="C35" s="81" t="s">
        <v>628</v>
      </c>
      <c r="D35" s="14" t="s">
        <v>316</v>
      </c>
      <c r="E35" s="14" t="s">
        <v>317</v>
      </c>
      <c r="F35" s="14" t="s">
        <v>157</v>
      </c>
      <c r="G35" s="16">
        <v>30</v>
      </c>
      <c r="H35" s="17">
        <v>130000000</v>
      </c>
      <c r="I35" s="18">
        <v>0</v>
      </c>
      <c r="J35" s="17">
        <f t="shared" si="4"/>
        <v>3900000000</v>
      </c>
      <c r="K35" s="48">
        <f t="shared" si="5"/>
        <v>0</v>
      </c>
      <c r="L35" s="231" t="s">
        <v>638</v>
      </c>
    </row>
    <row r="36" spans="1:12" ht="80.099999999999994" customHeight="1">
      <c r="A36" s="230" t="s">
        <v>626</v>
      </c>
      <c r="B36" s="45">
        <v>3</v>
      </c>
      <c r="C36" s="81" t="s">
        <v>629</v>
      </c>
      <c r="D36" s="9" t="s">
        <v>318</v>
      </c>
      <c r="E36" s="9" t="s">
        <v>116</v>
      </c>
      <c r="F36" s="9" t="s">
        <v>319</v>
      </c>
      <c r="G36" s="11">
        <v>11000</v>
      </c>
      <c r="H36" s="12">
        <v>520000</v>
      </c>
      <c r="I36" s="13">
        <v>0</v>
      </c>
      <c r="J36" s="12">
        <f t="shared" si="4"/>
        <v>5720000000</v>
      </c>
      <c r="K36" s="46">
        <f t="shared" si="5"/>
        <v>0</v>
      </c>
      <c r="L36" s="231" t="s">
        <v>639</v>
      </c>
    </row>
    <row r="37" spans="1:12" ht="80.099999999999994" customHeight="1">
      <c r="A37" s="230" t="s">
        <v>626</v>
      </c>
      <c r="B37" s="47">
        <v>4</v>
      </c>
      <c r="C37" s="81" t="s">
        <v>630</v>
      </c>
      <c r="D37" s="14" t="s">
        <v>320</v>
      </c>
      <c r="E37" s="14" t="s">
        <v>321</v>
      </c>
      <c r="F37" s="14" t="s">
        <v>157</v>
      </c>
      <c r="G37" s="16">
        <v>3</v>
      </c>
      <c r="H37" s="17">
        <v>830000000</v>
      </c>
      <c r="I37" s="18">
        <v>0</v>
      </c>
      <c r="J37" s="17">
        <f t="shared" si="4"/>
        <v>2490000000</v>
      </c>
      <c r="K37" s="48">
        <f t="shared" si="5"/>
        <v>0</v>
      </c>
      <c r="L37" s="231" t="s">
        <v>640</v>
      </c>
    </row>
    <row r="38" spans="1:12" ht="80.099999999999994" customHeight="1">
      <c r="A38" s="230" t="s">
        <v>626</v>
      </c>
      <c r="B38" s="45">
        <v>5</v>
      </c>
      <c r="C38" s="81" t="s">
        <v>631</v>
      </c>
      <c r="D38" s="9" t="s">
        <v>322</v>
      </c>
      <c r="E38" s="9" t="s">
        <v>323</v>
      </c>
      <c r="F38" s="9" t="s">
        <v>157</v>
      </c>
      <c r="G38" s="11">
        <v>180</v>
      </c>
      <c r="H38" s="12">
        <v>26000000</v>
      </c>
      <c r="I38" s="13">
        <v>0</v>
      </c>
      <c r="J38" s="12">
        <f t="shared" si="4"/>
        <v>4680000000</v>
      </c>
      <c r="K38" s="46">
        <f t="shared" si="5"/>
        <v>0</v>
      </c>
      <c r="L38" s="231" t="s">
        <v>641</v>
      </c>
    </row>
    <row r="39" spans="1:12" ht="80.099999999999994" customHeight="1">
      <c r="A39" s="230" t="s">
        <v>626</v>
      </c>
      <c r="B39" s="47">
        <v>6</v>
      </c>
      <c r="C39" s="81" t="s">
        <v>549</v>
      </c>
      <c r="D39" s="14" t="s">
        <v>324</v>
      </c>
      <c r="E39" s="14" t="s">
        <v>73</v>
      </c>
      <c r="F39" s="14" t="s">
        <v>131</v>
      </c>
      <c r="G39" s="16">
        <v>1</v>
      </c>
      <c r="H39" s="17">
        <v>300000000</v>
      </c>
      <c r="I39" s="18">
        <v>0</v>
      </c>
      <c r="J39" s="17">
        <f t="shared" si="4"/>
        <v>300000000</v>
      </c>
      <c r="K39" s="48">
        <f t="shared" si="5"/>
        <v>0</v>
      </c>
      <c r="L39" s="232" t="s">
        <v>642</v>
      </c>
    </row>
    <row r="40" spans="1:12" ht="36" customHeight="1" thickBot="1">
      <c r="A40" s="141"/>
      <c r="B40" s="395" t="s">
        <v>75</v>
      </c>
      <c r="C40" s="396"/>
      <c r="D40" s="397"/>
      <c r="E40" s="397"/>
      <c r="F40" s="397"/>
      <c r="G40" s="56">
        <f>SUM(G34:G39)</f>
        <v>11274</v>
      </c>
      <c r="H40" s="57"/>
      <c r="I40" s="58"/>
      <c r="J40" s="56">
        <f>SUM(J34:J39)</f>
        <v>19970000000</v>
      </c>
      <c r="K40" s="59">
        <f>SUM(K34:K39)</f>
        <v>0</v>
      </c>
      <c r="L40" s="143"/>
    </row>
  </sheetData>
  <mergeCells count="13">
    <mergeCell ref="B40:F40"/>
    <mergeCell ref="K1:K2"/>
    <mergeCell ref="B27:F27"/>
    <mergeCell ref="B5:K5"/>
    <mergeCell ref="E2:I2"/>
    <mergeCell ref="E1:I1"/>
    <mergeCell ref="B18:K18"/>
    <mergeCell ref="B31:K31"/>
    <mergeCell ref="D1:D2"/>
    <mergeCell ref="J1:J2"/>
    <mergeCell ref="B3:D3"/>
    <mergeCell ref="B14:F14"/>
    <mergeCell ref="B1:B2"/>
  </mergeCells>
  <hyperlinks>
    <hyperlink ref="B3" location="Dashboard!A1" display="◀ بازگشت به داشبورد" xr:uid="{00000000-0004-0000-0500-000000000000}"/>
  </hyperlinks>
  <printOptions horizontalCentered="1" verticalCentered="1"/>
  <pageMargins left="0.1" right="0.1" top="0.1" bottom="0.1" header="0.1" footer="0.1"/>
  <pageSetup paperSize="8" scale="40" fitToHeight="0" orientation="landscape" r:id="rId1"/>
  <rowBreaks count="2" manualBreakCount="2">
    <brk id="15" max="16383" man="1"/>
    <brk id="30" max="16383"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28A0F-63BD-4103-BE1B-741AC9BD47D5}">
  <sheetPr>
    <pageSetUpPr fitToPage="1"/>
  </sheetPr>
  <dimension ref="A1:F11"/>
  <sheetViews>
    <sheetView rightToLeft="1" view="pageBreakPreview" zoomScale="25" zoomScaleNormal="85" zoomScaleSheetLayoutView="25" workbookViewId="0">
      <selection activeCell="AF6" sqref="AF6"/>
    </sheetView>
  </sheetViews>
  <sheetFormatPr defaultRowHeight="15"/>
  <cols>
    <col min="1" max="1" width="19.57031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83"/>
      <c r="C1" s="283"/>
      <c r="D1" s="283"/>
      <c r="E1" s="283"/>
      <c r="F1" s="284"/>
    </row>
    <row r="2" spans="1:6" ht="45" customHeight="1">
      <c r="A2" s="285"/>
      <c r="B2" s="286"/>
      <c r="C2" s="286"/>
      <c r="D2" s="286"/>
      <c r="E2" s="286"/>
      <c r="F2" s="287"/>
    </row>
    <row r="3" spans="1:6" ht="37.5" customHeight="1" thickBot="1">
      <c r="A3" s="285"/>
      <c r="B3" s="286"/>
      <c r="C3" s="286"/>
      <c r="D3" s="286"/>
      <c r="E3" s="286"/>
      <c r="F3" s="287"/>
    </row>
    <row r="4" spans="1:6" ht="307.5" customHeight="1">
      <c r="A4" s="285"/>
      <c r="B4" s="364" t="s">
        <v>762</v>
      </c>
      <c r="C4" s="365"/>
      <c r="D4" s="365"/>
      <c r="E4" s="366"/>
      <c r="F4" s="287"/>
    </row>
    <row r="5" spans="1:6" ht="409.6" customHeight="1">
      <c r="A5" s="285"/>
      <c r="B5" s="367"/>
      <c r="C5" s="368"/>
      <c r="D5" s="368"/>
      <c r="E5" s="369"/>
      <c r="F5" s="287"/>
    </row>
    <row r="6" spans="1:6" ht="165.75" customHeight="1">
      <c r="A6" s="285"/>
      <c r="B6" s="367"/>
      <c r="C6" s="368"/>
      <c r="D6" s="368"/>
      <c r="E6" s="369"/>
      <c r="F6" s="287"/>
    </row>
    <row r="7" spans="1:6" ht="321.75" customHeight="1">
      <c r="A7" s="285"/>
      <c r="B7" s="367"/>
      <c r="C7" s="368"/>
      <c r="D7" s="368"/>
      <c r="E7" s="369"/>
      <c r="F7" s="287"/>
    </row>
    <row r="8" spans="1:6" ht="370.5" customHeight="1">
      <c r="A8" s="285"/>
      <c r="B8" s="367"/>
      <c r="C8" s="368"/>
      <c r="D8" s="368"/>
      <c r="E8" s="369"/>
      <c r="F8" s="287"/>
    </row>
    <row r="9" spans="1:6" ht="204.75" customHeight="1">
      <c r="A9" s="285"/>
      <c r="B9" s="367"/>
      <c r="C9" s="368"/>
      <c r="D9" s="368"/>
      <c r="E9" s="369"/>
      <c r="F9" s="287"/>
    </row>
    <row r="10" spans="1:6" ht="189.75" customHeight="1" thickBot="1">
      <c r="A10" s="285"/>
      <c r="B10" s="370"/>
      <c r="C10" s="371"/>
      <c r="D10" s="371"/>
      <c r="E10" s="372"/>
      <c r="F10" s="287"/>
    </row>
    <row r="11" spans="1:6" ht="135.75" customHeight="1" thickBot="1">
      <c r="A11" s="288"/>
      <c r="B11" s="289"/>
      <c r="C11" s="289"/>
      <c r="D11" s="289"/>
      <c r="E11" s="289"/>
      <c r="F11" s="290"/>
    </row>
  </sheetData>
  <mergeCells count="1">
    <mergeCell ref="B4:E10"/>
  </mergeCells>
  <printOptions horizontalCentered="1" verticalCentered="1"/>
  <pageMargins left="0.1" right="0.1" top="0.1" bottom="0.1" header="0.1" footer="0.1"/>
  <pageSetup paperSize="8" scale="36"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pageSetUpPr fitToPage="1"/>
  </sheetPr>
  <dimension ref="A1:K31"/>
  <sheetViews>
    <sheetView showGridLines="0" view="pageBreakPreview" zoomScale="60" zoomScaleNormal="40" workbookViewId="0">
      <selection activeCell="E25" sqref="E25"/>
    </sheetView>
  </sheetViews>
  <sheetFormatPr defaultRowHeight="24"/>
  <cols>
    <col min="1" max="1" width="29.5703125" style="76" customWidth="1"/>
    <col min="2" max="2" width="8" customWidth="1"/>
    <col min="3" max="3" width="65" customWidth="1"/>
    <col min="4" max="4" width="12" customWidth="1"/>
    <col min="5" max="5" width="10" customWidth="1"/>
    <col min="6" max="6" width="12" customWidth="1"/>
    <col min="7" max="8" width="20" style="4" customWidth="1"/>
    <col min="9" max="10" width="22" style="4" customWidth="1"/>
    <col min="11" max="11" width="47.140625" customWidth="1"/>
  </cols>
  <sheetData>
    <row r="1" spans="1:11" ht="27.95" customHeight="1">
      <c r="A1" s="137"/>
      <c r="B1" s="492"/>
      <c r="C1" s="501"/>
      <c r="D1" s="326" t="s">
        <v>0</v>
      </c>
      <c r="E1" s="315"/>
      <c r="F1" s="315"/>
      <c r="G1" s="315"/>
      <c r="H1" s="315"/>
      <c r="I1" s="484"/>
      <c r="J1" s="484"/>
      <c r="K1" s="233"/>
    </row>
    <row r="2" spans="1:11" ht="27.95" customHeight="1" thickBot="1">
      <c r="A2" s="140"/>
      <c r="B2" s="462"/>
      <c r="C2" s="462"/>
      <c r="D2" s="327" t="s">
        <v>325</v>
      </c>
      <c r="E2" s="328"/>
      <c r="F2" s="328"/>
      <c r="G2" s="328"/>
      <c r="H2" s="329"/>
      <c r="I2" s="458"/>
      <c r="J2" s="458"/>
      <c r="K2" s="234"/>
    </row>
    <row r="3" spans="1:11" ht="21.95" customHeight="1" thickBot="1">
      <c r="A3" s="140"/>
      <c r="B3" s="491" t="s">
        <v>33</v>
      </c>
      <c r="C3" s="383"/>
      <c r="D3" s="160"/>
      <c r="E3" s="160"/>
      <c r="F3" s="160"/>
      <c r="G3" s="162"/>
      <c r="H3" s="162"/>
      <c r="I3" s="162"/>
      <c r="J3" s="5"/>
      <c r="K3" s="234"/>
    </row>
    <row r="4" spans="1:11" ht="15" customHeight="1" thickBot="1">
      <c r="A4" s="140"/>
      <c r="B4" s="1"/>
      <c r="C4" s="1"/>
      <c r="D4" s="1"/>
      <c r="E4" s="1"/>
      <c r="F4" s="1"/>
      <c r="G4" s="5"/>
      <c r="H4" s="5"/>
      <c r="I4" s="5"/>
      <c r="J4" s="5"/>
      <c r="K4" s="234"/>
    </row>
    <row r="5" spans="1:11" ht="40.5" customHeight="1">
      <c r="A5" s="140"/>
      <c r="B5" s="485" t="s">
        <v>326</v>
      </c>
      <c r="C5" s="487"/>
      <c r="D5" s="487"/>
      <c r="E5" s="487"/>
      <c r="F5" s="487"/>
      <c r="G5" s="487"/>
      <c r="H5" s="487"/>
      <c r="I5" s="487"/>
      <c r="J5" s="488"/>
      <c r="K5" s="234"/>
    </row>
    <row r="6" spans="1:11" ht="18" hidden="1" customHeight="1">
      <c r="A6" s="140"/>
      <c r="B6" s="42"/>
      <c r="C6" s="160"/>
      <c r="D6" s="160"/>
      <c r="E6" s="160"/>
      <c r="F6" s="160"/>
      <c r="G6" s="162"/>
      <c r="H6" s="162"/>
      <c r="I6" s="162"/>
      <c r="J6" s="67"/>
      <c r="K6" s="234"/>
    </row>
    <row r="7" spans="1:11" ht="27.95" customHeight="1">
      <c r="A7" s="180" t="s">
        <v>506</v>
      </c>
      <c r="B7" s="43" t="s">
        <v>35</v>
      </c>
      <c r="C7" s="149" t="s">
        <v>523</v>
      </c>
      <c r="D7" s="149" t="s">
        <v>37</v>
      </c>
      <c r="E7" s="149" t="s">
        <v>38</v>
      </c>
      <c r="F7" s="149" t="s">
        <v>39</v>
      </c>
      <c r="G7" s="149" t="s">
        <v>40</v>
      </c>
      <c r="H7" s="149" t="s">
        <v>41</v>
      </c>
      <c r="I7" s="149" t="s">
        <v>42</v>
      </c>
      <c r="J7" s="150" t="s">
        <v>43</v>
      </c>
      <c r="K7" s="181" t="s">
        <v>480</v>
      </c>
    </row>
    <row r="8" spans="1:11" ht="69.95" customHeight="1">
      <c r="A8" s="235" t="s">
        <v>643</v>
      </c>
      <c r="B8" s="45">
        <v>1</v>
      </c>
      <c r="C8" s="9" t="s">
        <v>327</v>
      </c>
      <c r="D8" s="9" t="s">
        <v>116</v>
      </c>
      <c r="E8" s="9" t="s">
        <v>197</v>
      </c>
      <c r="F8" s="11">
        <v>2</v>
      </c>
      <c r="G8" s="12">
        <v>0</v>
      </c>
      <c r="H8" s="13">
        <v>2500</v>
      </c>
      <c r="I8" s="12">
        <f t="shared" ref="I8:I14" si="0">F8*G8</f>
        <v>0</v>
      </c>
      <c r="J8" s="46">
        <f t="shared" ref="J8:J14" si="1">F8*H8</f>
        <v>5000</v>
      </c>
      <c r="K8" s="236" t="s">
        <v>481</v>
      </c>
    </row>
    <row r="9" spans="1:11" ht="69.95" customHeight="1">
      <c r="A9" s="235" t="s">
        <v>643</v>
      </c>
      <c r="B9" s="47">
        <v>2</v>
      </c>
      <c r="C9" s="14" t="s">
        <v>328</v>
      </c>
      <c r="D9" s="14" t="s">
        <v>116</v>
      </c>
      <c r="E9" s="14" t="s">
        <v>197</v>
      </c>
      <c r="F9" s="16">
        <v>2</v>
      </c>
      <c r="G9" s="17">
        <v>0</v>
      </c>
      <c r="H9" s="18">
        <v>5000</v>
      </c>
      <c r="I9" s="17">
        <f t="shared" si="0"/>
        <v>0</v>
      </c>
      <c r="J9" s="48">
        <f t="shared" si="1"/>
        <v>10000</v>
      </c>
      <c r="K9" s="237" t="s">
        <v>482</v>
      </c>
    </row>
    <row r="10" spans="1:11" ht="69.95" customHeight="1">
      <c r="A10" s="235" t="s">
        <v>643</v>
      </c>
      <c r="B10" s="45">
        <v>3</v>
      </c>
      <c r="C10" s="9" t="s">
        <v>329</v>
      </c>
      <c r="D10" s="9" t="s">
        <v>330</v>
      </c>
      <c r="E10" s="9" t="s">
        <v>117</v>
      </c>
      <c r="F10" s="11">
        <v>4</v>
      </c>
      <c r="G10" s="12">
        <v>0</v>
      </c>
      <c r="H10" s="13">
        <v>120</v>
      </c>
      <c r="I10" s="12">
        <f t="shared" si="0"/>
        <v>0</v>
      </c>
      <c r="J10" s="46">
        <f t="shared" si="1"/>
        <v>480</v>
      </c>
      <c r="K10" s="237" t="s">
        <v>483</v>
      </c>
    </row>
    <row r="11" spans="1:11" ht="69.95" customHeight="1">
      <c r="A11" s="235" t="s">
        <v>643</v>
      </c>
      <c r="B11" s="47">
        <v>4</v>
      </c>
      <c r="C11" s="14" t="s">
        <v>331</v>
      </c>
      <c r="D11" s="14" t="s">
        <v>332</v>
      </c>
      <c r="E11" s="14" t="s">
        <v>117</v>
      </c>
      <c r="F11" s="16">
        <v>3</v>
      </c>
      <c r="G11" s="17">
        <v>0</v>
      </c>
      <c r="H11" s="18">
        <v>650</v>
      </c>
      <c r="I11" s="17">
        <f t="shared" si="0"/>
        <v>0</v>
      </c>
      <c r="J11" s="48">
        <f t="shared" si="1"/>
        <v>1950</v>
      </c>
      <c r="K11" s="236" t="s">
        <v>484</v>
      </c>
    </row>
    <row r="12" spans="1:11" ht="69.95" customHeight="1">
      <c r="A12" s="235" t="s">
        <v>643</v>
      </c>
      <c r="B12" s="45">
        <v>5</v>
      </c>
      <c r="C12" s="9" t="s">
        <v>333</v>
      </c>
      <c r="D12" s="9" t="s">
        <v>334</v>
      </c>
      <c r="E12" s="9" t="s">
        <v>117</v>
      </c>
      <c r="F12" s="11">
        <v>4</v>
      </c>
      <c r="G12" s="12">
        <v>0</v>
      </c>
      <c r="H12" s="13">
        <v>130</v>
      </c>
      <c r="I12" s="12">
        <f t="shared" si="0"/>
        <v>0</v>
      </c>
      <c r="J12" s="46">
        <f t="shared" si="1"/>
        <v>520</v>
      </c>
      <c r="K12" s="237" t="s">
        <v>485</v>
      </c>
    </row>
    <row r="13" spans="1:11" ht="69.95" customHeight="1">
      <c r="A13" s="235" t="s">
        <v>643</v>
      </c>
      <c r="B13" s="47">
        <v>6</v>
      </c>
      <c r="C13" s="14" t="s">
        <v>335</v>
      </c>
      <c r="D13" s="14" t="s">
        <v>336</v>
      </c>
      <c r="E13" s="14" t="s">
        <v>117</v>
      </c>
      <c r="F13" s="16">
        <v>3</v>
      </c>
      <c r="G13" s="17">
        <v>0</v>
      </c>
      <c r="H13" s="18">
        <v>850</v>
      </c>
      <c r="I13" s="17">
        <f t="shared" si="0"/>
        <v>0</v>
      </c>
      <c r="J13" s="48">
        <f t="shared" si="1"/>
        <v>2550</v>
      </c>
      <c r="K13" s="236" t="s">
        <v>486</v>
      </c>
    </row>
    <row r="14" spans="1:11" ht="69.95" customHeight="1">
      <c r="A14" s="235" t="s">
        <v>643</v>
      </c>
      <c r="B14" s="45">
        <v>7</v>
      </c>
      <c r="C14" s="9" t="s">
        <v>337</v>
      </c>
      <c r="D14" s="9" t="s">
        <v>73</v>
      </c>
      <c r="E14" s="9" t="s">
        <v>131</v>
      </c>
      <c r="F14" s="11">
        <v>1</v>
      </c>
      <c r="G14" s="12">
        <v>0</v>
      </c>
      <c r="H14" s="13">
        <v>3000</v>
      </c>
      <c r="I14" s="12">
        <f t="shared" si="0"/>
        <v>0</v>
      </c>
      <c r="J14" s="46">
        <f t="shared" si="1"/>
        <v>3000</v>
      </c>
      <c r="K14" s="185" t="s">
        <v>503</v>
      </c>
    </row>
    <row r="15" spans="1:11" ht="26.1" customHeight="1" thickBot="1">
      <c r="A15" s="141"/>
      <c r="B15" s="395" t="s">
        <v>75</v>
      </c>
      <c r="C15" s="397"/>
      <c r="D15" s="397"/>
      <c r="E15" s="397"/>
      <c r="F15" s="110">
        <f>SUM(F8:F14)</f>
        <v>19</v>
      </c>
      <c r="G15" s="57"/>
      <c r="H15" s="58"/>
      <c r="I15" s="56">
        <f>SUM(I8:I14)</f>
        <v>0</v>
      </c>
      <c r="J15" s="59">
        <f>SUM(J8:J14)</f>
        <v>23500</v>
      </c>
      <c r="K15" s="238"/>
    </row>
    <row r="16" spans="1:11" hidden="1"/>
    <row r="17" spans="1:11" hidden="1"/>
    <row r="18" spans="1:11" ht="24.75" thickBot="1"/>
    <row r="19" spans="1:11" ht="61.5" customHeight="1">
      <c r="A19" s="137"/>
      <c r="B19" s="485" t="s">
        <v>338</v>
      </c>
      <c r="C19" s="487"/>
      <c r="D19" s="487"/>
      <c r="E19" s="487"/>
      <c r="F19" s="487"/>
      <c r="G19" s="487"/>
      <c r="H19" s="487"/>
      <c r="I19" s="487"/>
      <c r="J19" s="488"/>
      <c r="K19" s="233"/>
    </row>
    <row r="20" spans="1:11" ht="18" hidden="1" customHeight="1">
      <c r="A20" s="140"/>
      <c r="B20" s="42"/>
      <c r="C20" s="160"/>
      <c r="D20" s="160"/>
      <c r="E20" s="160"/>
      <c r="F20" s="160"/>
      <c r="G20" s="162"/>
      <c r="H20" s="162"/>
      <c r="I20" s="162"/>
      <c r="J20" s="67"/>
      <c r="K20" s="234"/>
    </row>
    <row r="21" spans="1:11" ht="27.95" customHeight="1">
      <c r="A21" s="180" t="s">
        <v>506</v>
      </c>
      <c r="B21" s="43" t="s">
        <v>35</v>
      </c>
      <c r="C21" s="149" t="s">
        <v>523</v>
      </c>
      <c r="D21" s="149" t="s">
        <v>37</v>
      </c>
      <c r="E21" s="149" t="s">
        <v>38</v>
      </c>
      <c r="F21" s="149" t="s">
        <v>39</v>
      </c>
      <c r="G21" s="149" t="s">
        <v>40</v>
      </c>
      <c r="H21" s="149" t="s">
        <v>41</v>
      </c>
      <c r="I21" s="149" t="s">
        <v>42</v>
      </c>
      <c r="J21" s="150" t="s">
        <v>43</v>
      </c>
      <c r="K21" s="181" t="s">
        <v>480</v>
      </c>
    </row>
    <row r="22" spans="1:11" ht="69.95" customHeight="1">
      <c r="A22" s="239" t="s">
        <v>644</v>
      </c>
      <c r="B22" s="45">
        <v>1</v>
      </c>
      <c r="C22" s="9" t="s">
        <v>327</v>
      </c>
      <c r="D22" s="9" t="s">
        <v>116</v>
      </c>
      <c r="E22" s="9" t="s">
        <v>197</v>
      </c>
      <c r="F22" s="11">
        <v>5</v>
      </c>
      <c r="G22" s="12">
        <v>0</v>
      </c>
      <c r="H22" s="13">
        <v>2500</v>
      </c>
      <c r="I22" s="12">
        <f t="shared" ref="I22:I30" si="2">F22*G22</f>
        <v>0</v>
      </c>
      <c r="J22" s="46">
        <f t="shared" ref="J22:J30" si="3">F22*H22</f>
        <v>12500</v>
      </c>
      <c r="K22" s="236" t="s">
        <v>645</v>
      </c>
    </row>
    <row r="23" spans="1:11" ht="69.95" customHeight="1">
      <c r="A23" s="239" t="s">
        <v>644</v>
      </c>
      <c r="B23" s="47">
        <v>2</v>
      </c>
      <c r="C23" s="14" t="s">
        <v>328</v>
      </c>
      <c r="D23" s="14" t="s">
        <v>116</v>
      </c>
      <c r="E23" s="14" t="s">
        <v>197</v>
      </c>
      <c r="F23" s="16">
        <v>3</v>
      </c>
      <c r="G23" s="17">
        <v>0</v>
      </c>
      <c r="H23" s="18">
        <v>5000</v>
      </c>
      <c r="I23" s="17">
        <f t="shared" si="2"/>
        <v>0</v>
      </c>
      <c r="J23" s="48">
        <f t="shared" si="3"/>
        <v>15000</v>
      </c>
      <c r="K23" s="237" t="s">
        <v>646</v>
      </c>
    </row>
    <row r="24" spans="1:11" ht="69.95" customHeight="1">
      <c r="A24" s="239" t="s">
        <v>644</v>
      </c>
      <c r="B24" s="45">
        <v>3</v>
      </c>
      <c r="C24" s="9" t="s">
        <v>329</v>
      </c>
      <c r="D24" s="9" t="s">
        <v>330</v>
      </c>
      <c r="E24" s="9" t="s">
        <v>117</v>
      </c>
      <c r="F24" s="11">
        <v>10</v>
      </c>
      <c r="G24" s="12">
        <v>0</v>
      </c>
      <c r="H24" s="13">
        <v>120</v>
      </c>
      <c r="I24" s="12">
        <f t="shared" si="2"/>
        <v>0</v>
      </c>
      <c r="J24" s="46">
        <f t="shared" si="3"/>
        <v>1200</v>
      </c>
      <c r="K24" s="237" t="s">
        <v>647</v>
      </c>
    </row>
    <row r="25" spans="1:11" ht="69.95" customHeight="1">
      <c r="A25" s="239" t="s">
        <v>644</v>
      </c>
      <c r="B25" s="47">
        <v>4</v>
      </c>
      <c r="C25" s="14" t="s">
        <v>339</v>
      </c>
      <c r="D25" s="14" t="s">
        <v>340</v>
      </c>
      <c r="E25" s="14" t="s">
        <v>117</v>
      </c>
      <c r="F25" s="16">
        <v>4</v>
      </c>
      <c r="G25" s="17">
        <v>0</v>
      </c>
      <c r="H25" s="18">
        <v>650</v>
      </c>
      <c r="I25" s="17">
        <f t="shared" si="2"/>
        <v>0</v>
      </c>
      <c r="J25" s="48">
        <f t="shared" si="3"/>
        <v>2600</v>
      </c>
      <c r="K25" s="236" t="s">
        <v>648</v>
      </c>
    </row>
    <row r="26" spans="1:11" ht="69.95" customHeight="1">
      <c r="A26" s="239" t="s">
        <v>644</v>
      </c>
      <c r="B26" s="45">
        <v>5</v>
      </c>
      <c r="C26" s="9" t="s">
        <v>333</v>
      </c>
      <c r="D26" s="9" t="s">
        <v>334</v>
      </c>
      <c r="E26" s="9" t="s">
        <v>117</v>
      </c>
      <c r="F26" s="11">
        <v>10</v>
      </c>
      <c r="G26" s="12">
        <v>0</v>
      </c>
      <c r="H26" s="13">
        <v>130</v>
      </c>
      <c r="I26" s="12">
        <f t="shared" si="2"/>
        <v>0</v>
      </c>
      <c r="J26" s="46">
        <f t="shared" si="3"/>
        <v>1300</v>
      </c>
      <c r="K26" s="237" t="s">
        <v>649</v>
      </c>
    </row>
    <row r="27" spans="1:11" ht="69.95" customHeight="1">
      <c r="A27" s="239" t="s">
        <v>644</v>
      </c>
      <c r="B27" s="47">
        <v>6</v>
      </c>
      <c r="C27" s="14" t="s">
        <v>335</v>
      </c>
      <c r="D27" s="14" t="s">
        <v>336</v>
      </c>
      <c r="E27" s="14" t="s">
        <v>117</v>
      </c>
      <c r="F27" s="16">
        <v>3</v>
      </c>
      <c r="G27" s="17">
        <v>0</v>
      </c>
      <c r="H27" s="18">
        <v>850</v>
      </c>
      <c r="I27" s="17">
        <f t="shared" si="2"/>
        <v>0</v>
      </c>
      <c r="J27" s="48">
        <f t="shared" si="3"/>
        <v>2550</v>
      </c>
      <c r="K27" s="236" t="s">
        <v>650</v>
      </c>
    </row>
    <row r="28" spans="1:11" ht="69.95" customHeight="1">
      <c r="A28" s="239" t="s">
        <v>644</v>
      </c>
      <c r="B28" s="45">
        <v>7</v>
      </c>
      <c r="C28" s="9" t="s">
        <v>341</v>
      </c>
      <c r="D28" s="9" t="s">
        <v>116</v>
      </c>
      <c r="E28" s="9" t="s">
        <v>197</v>
      </c>
      <c r="F28" s="11">
        <v>1</v>
      </c>
      <c r="G28" s="12">
        <v>0</v>
      </c>
      <c r="H28" s="13">
        <v>45000</v>
      </c>
      <c r="I28" s="12">
        <f t="shared" si="2"/>
        <v>0</v>
      </c>
      <c r="J28" s="46">
        <f t="shared" si="3"/>
        <v>45000</v>
      </c>
      <c r="K28" s="237" t="s">
        <v>651</v>
      </c>
    </row>
    <row r="29" spans="1:11" ht="69.95" customHeight="1">
      <c r="A29" s="239" t="s">
        <v>644</v>
      </c>
      <c r="B29" s="47">
        <v>8</v>
      </c>
      <c r="C29" s="14" t="s">
        <v>342</v>
      </c>
      <c r="D29" s="14" t="s">
        <v>116</v>
      </c>
      <c r="E29" s="14" t="s">
        <v>197</v>
      </c>
      <c r="F29" s="16">
        <v>1</v>
      </c>
      <c r="G29" s="17">
        <v>0</v>
      </c>
      <c r="H29" s="18">
        <v>35000</v>
      </c>
      <c r="I29" s="17">
        <f t="shared" si="2"/>
        <v>0</v>
      </c>
      <c r="J29" s="48">
        <f t="shared" si="3"/>
        <v>35000</v>
      </c>
      <c r="K29" s="237" t="s">
        <v>652</v>
      </c>
    </row>
    <row r="30" spans="1:11" ht="69.95" customHeight="1">
      <c r="A30" s="239" t="s">
        <v>644</v>
      </c>
      <c r="B30" s="45">
        <v>9</v>
      </c>
      <c r="C30" s="9" t="s">
        <v>343</v>
      </c>
      <c r="D30" s="9" t="s">
        <v>73</v>
      </c>
      <c r="E30" s="9" t="s">
        <v>131</v>
      </c>
      <c r="F30" s="11">
        <v>1</v>
      </c>
      <c r="G30" s="12">
        <v>0</v>
      </c>
      <c r="H30" s="13">
        <v>5000</v>
      </c>
      <c r="I30" s="12">
        <f t="shared" si="2"/>
        <v>0</v>
      </c>
      <c r="J30" s="46">
        <f t="shared" si="3"/>
        <v>5000</v>
      </c>
      <c r="K30" s="240" t="s">
        <v>653</v>
      </c>
    </row>
    <row r="31" spans="1:11" ht="26.1" customHeight="1" thickBot="1">
      <c r="A31" s="141"/>
      <c r="B31" s="395" t="s">
        <v>75</v>
      </c>
      <c r="C31" s="397"/>
      <c r="D31" s="397"/>
      <c r="E31" s="397"/>
      <c r="F31" s="110">
        <f>SUM(F22:F30)</f>
        <v>38</v>
      </c>
      <c r="G31" s="57"/>
      <c r="H31" s="58"/>
      <c r="I31" s="56">
        <f>SUM(I22:I30)</f>
        <v>0</v>
      </c>
      <c r="J31" s="59">
        <f>SUM(J22:J30)</f>
        <v>120150</v>
      </c>
      <c r="K31" s="238"/>
    </row>
  </sheetData>
  <mergeCells count="11">
    <mergeCell ref="J1:J2"/>
    <mergeCell ref="B31:E31"/>
    <mergeCell ref="B19:J19"/>
    <mergeCell ref="B5:J5"/>
    <mergeCell ref="D2:H2"/>
    <mergeCell ref="D1:H1"/>
    <mergeCell ref="B15:E15"/>
    <mergeCell ref="C1:C2"/>
    <mergeCell ref="I1:I2"/>
    <mergeCell ref="B3:C3"/>
    <mergeCell ref="B1:B2"/>
  </mergeCells>
  <hyperlinks>
    <hyperlink ref="B3" location="Dashboard!A1" display="◀ بازگشت به داشبورد" xr:uid="{00000000-0004-0000-0600-000000000000}"/>
  </hyperlinks>
  <printOptions horizontalCentered="1" verticalCentered="1"/>
  <pageMargins left="0.1" right="0.1" top="0.1" bottom="0.1" header="0.1" footer="0.1"/>
  <pageSetup paperSize="8" scale="52" fitToHeight="0" orientation="landscape" r:id="rId1"/>
  <rowBreaks count="1" manualBreakCount="1">
    <brk id="15"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F7089-35AF-4CA7-8E40-8C47150F127E}">
  <sheetPr>
    <pageSetUpPr fitToPage="1"/>
  </sheetPr>
  <dimension ref="A1:F11"/>
  <sheetViews>
    <sheetView rightToLeft="1" view="pageBreakPreview" zoomScale="25" zoomScaleNormal="85" zoomScaleSheetLayoutView="25" workbookViewId="0">
      <selection activeCell="U8" sqref="U8"/>
    </sheetView>
  </sheetViews>
  <sheetFormatPr defaultRowHeight="15"/>
  <cols>
    <col min="1" max="1" width="19.5703125" style="259" customWidth="1"/>
    <col min="2" max="2" width="25" style="259" customWidth="1"/>
    <col min="3" max="3" width="140.5703125" style="259" bestFit="1" customWidth="1"/>
    <col min="4" max="4" width="37.85546875" style="259" customWidth="1"/>
    <col min="5" max="5" width="41.28515625" style="259" bestFit="1" customWidth="1"/>
    <col min="6" max="6" width="21.28515625" style="259" customWidth="1"/>
    <col min="7" max="16384" width="9.140625" style="249"/>
  </cols>
  <sheetData>
    <row r="1" spans="1:6" ht="35.1" customHeight="1">
      <c r="A1" s="274"/>
      <c r="B1" s="283"/>
      <c r="C1" s="283"/>
      <c r="D1" s="283"/>
      <c r="E1" s="283"/>
      <c r="F1" s="284"/>
    </row>
    <row r="2" spans="1:6" ht="45" customHeight="1">
      <c r="A2" s="285"/>
      <c r="B2" s="286"/>
      <c r="C2" s="286"/>
      <c r="D2" s="286"/>
      <c r="E2" s="286"/>
      <c r="F2" s="287"/>
    </row>
    <row r="3" spans="1:6" ht="37.5" customHeight="1" thickBot="1">
      <c r="A3" s="285"/>
      <c r="B3" s="286"/>
      <c r="C3" s="286"/>
      <c r="D3" s="286"/>
      <c r="E3" s="286"/>
      <c r="F3" s="287"/>
    </row>
    <row r="4" spans="1:6" ht="307.5" customHeight="1">
      <c r="A4" s="285"/>
      <c r="B4" s="364" t="s">
        <v>763</v>
      </c>
      <c r="C4" s="365"/>
      <c r="D4" s="365"/>
      <c r="E4" s="366"/>
      <c r="F4" s="287"/>
    </row>
    <row r="5" spans="1:6" ht="409.6" customHeight="1">
      <c r="A5" s="285"/>
      <c r="B5" s="367"/>
      <c r="C5" s="368"/>
      <c r="D5" s="368"/>
      <c r="E5" s="369"/>
      <c r="F5" s="287"/>
    </row>
    <row r="6" spans="1:6" ht="165.75" customHeight="1">
      <c r="A6" s="285"/>
      <c r="B6" s="367"/>
      <c r="C6" s="368"/>
      <c r="D6" s="368"/>
      <c r="E6" s="369"/>
      <c r="F6" s="287"/>
    </row>
    <row r="7" spans="1:6" ht="321.75" customHeight="1">
      <c r="A7" s="285"/>
      <c r="B7" s="367"/>
      <c r="C7" s="368"/>
      <c r="D7" s="368"/>
      <c r="E7" s="369"/>
      <c r="F7" s="287"/>
    </row>
    <row r="8" spans="1:6" ht="370.5" customHeight="1">
      <c r="A8" s="285"/>
      <c r="B8" s="367"/>
      <c r="C8" s="368"/>
      <c r="D8" s="368"/>
      <c r="E8" s="369"/>
      <c r="F8" s="287"/>
    </row>
    <row r="9" spans="1:6" ht="204.75" customHeight="1">
      <c r="A9" s="285"/>
      <c r="B9" s="367"/>
      <c r="C9" s="368"/>
      <c r="D9" s="368"/>
      <c r="E9" s="369"/>
      <c r="F9" s="287"/>
    </row>
    <row r="10" spans="1:6" ht="189.75" customHeight="1" thickBot="1">
      <c r="A10" s="285"/>
      <c r="B10" s="370"/>
      <c r="C10" s="371"/>
      <c r="D10" s="371"/>
      <c r="E10" s="372"/>
      <c r="F10" s="287"/>
    </row>
    <row r="11" spans="1:6" ht="135.75" customHeight="1" thickBot="1">
      <c r="A11" s="288"/>
      <c r="B11" s="289"/>
      <c r="C11" s="289"/>
      <c r="D11" s="289"/>
      <c r="E11" s="289"/>
      <c r="F11" s="290"/>
    </row>
  </sheetData>
  <mergeCells count="1">
    <mergeCell ref="B4:E10"/>
  </mergeCells>
  <printOptions horizontalCentered="1" verticalCentered="1"/>
  <pageMargins left="0.1" right="0.1" top="0.1" bottom="0.1" header="0.1" footer="0.1"/>
  <pageSetup paperSize="8" scale="36"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pageSetUpPr fitToPage="1"/>
  </sheetPr>
  <dimension ref="A1:J11"/>
  <sheetViews>
    <sheetView showGridLines="0" view="pageBreakPreview" topLeftCell="B1" zoomScale="85" zoomScaleNormal="100" zoomScaleSheetLayoutView="85" workbookViewId="0">
      <selection activeCell="D9" sqref="D9"/>
    </sheetView>
  </sheetViews>
  <sheetFormatPr defaultRowHeight="24"/>
  <cols>
    <col min="1" max="1" width="0" style="76" hidden="1" customWidth="1"/>
    <col min="2" max="2" width="8" customWidth="1"/>
    <col min="3" max="3" width="65" customWidth="1"/>
    <col min="4" max="4" width="12" customWidth="1"/>
    <col min="5" max="5" width="10" customWidth="1"/>
    <col min="6" max="6" width="12" customWidth="1"/>
    <col min="7" max="8" width="20" customWidth="1"/>
    <col min="9" max="10" width="22" customWidth="1"/>
  </cols>
  <sheetData>
    <row r="1" spans="2:10" ht="27.95" customHeight="1">
      <c r="B1" s="398"/>
      <c r="C1" s="501"/>
      <c r="D1" s="326" t="s">
        <v>0</v>
      </c>
      <c r="E1" s="315"/>
      <c r="F1" s="315"/>
      <c r="G1" s="315"/>
      <c r="H1" s="315"/>
      <c r="I1" s="315"/>
      <c r="J1" s="330"/>
    </row>
    <row r="2" spans="2:10" ht="27.95" customHeight="1" thickBot="1">
      <c r="B2" s="399"/>
      <c r="C2" s="462"/>
      <c r="D2" s="327" t="s">
        <v>344</v>
      </c>
      <c r="E2" s="328"/>
      <c r="F2" s="328"/>
      <c r="G2" s="328"/>
      <c r="H2" s="329"/>
      <c r="I2" s="316"/>
      <c r="J2" s="331"/>
    </row>
    <row r="3" spans="2:10" ht="21.95" customHeight="1" thickBot="1">
      <c r="B3" s="381" t="s">
        <v>33</v>
      </c>
      <c r="C3" s="383"/>
      <c r="D3" s="160"/>
      <c r="E3" s="160"/>
      <c r="F3" s="160"/>
      <c r="G3" s="160"/>
      <c r="H3" s="160"/>
      <c r="I3" s="160"/>
      <c r="J3" s="243"/>
    </row>
    <row r="4" spans="2:10" ht="15" customHeight="1" thickBot="1">
      <c r="B4" s="41"/>
      <c r="C4" s="1"/>
      <c r="D4" s="1"/>
      <c r="E4" s="1"/>
      <c r="F4" s="1"/>
      <c r="G4" s="1"/>
      <c r="H4" s="1"/>
      <c r="I4" s="1"/>
      <c r="J4" s="243"/>
    </row>
    <row r="5" spans="2:10" ht="26.1" customHeight="1">
      <c r="B5" s="504" t="s">
        <v>345</v>
      </c>
      <c r="C5" s="505"/>
      <c r="D5" s="505"/>
      <c r="E5" s="505"/>
      <c r="F5" s="505"/>
      <c r="G5" s="505"/>
      <c r="H5" s="505"/>
      <c r="I5" s="505"/>
      <c r="J5" s="506"/>
    </row>
    <row r="6" spans="2:10" ht="18" hidden="1" customHeight="1">
      <c r="B6" s="152"/>
      <c r="C6" s="153"/>
      <c r="D6" s="153"/>
      <c r="E6" s="153"/>
      <c r="F6" s="153"/>
      <c r="G6" s="153"/>
      <c r="H6" s="153"/>
      <c r="I6" s="153"/>
      <c r="J6" s="154"/>
    </row>
    <row r="7" spans="2:10" ht="36" customHeight="1">
      <c r="B7" s="43" t="s">
        <v>35</v>
      </c>
      <c r="C7" s="149" t="s">
        <v>523</v>
      </c>
      <c r="D7" s="149" t="s">
        <v>37</v>
      </c>
      <c r="E7" s="149" t="s">
        <v>38</v>
      </c>
      <c r="F7" s="149" t="s">
        <v>39</v>
      </c>
      <c r="G7" s="149" t="s">
        <v>40</v>
      </c>
      <c r="H7" s="149" t="s">
        <v>41</v>
      </c>
      <c r="I7" s="149" t="s">
        <v>42</v>
      </c>
      <c r="J7" s="150" t="s">
        <v>43</v>
      </c>
    </row>
    <row r="8" spans="2:10" ht="90" customHeight="1">
      <c r="B8" s="133">
        <v>1</v>
      </c>
      <c r="C8" s="128" t="s">
        <v>346</v>
      </c>
      <c r="D8" s="241" t="s">
        <v>116</v>
      </c>
      <c r="E8" s="241" t="s">
        <v>152</v>
      </c>
      <c r="F8" s="242">
        <v>1</v>
      </c>
      <c r="G8" s="129">
        <v>145000</v>
      </c>
      <c r="H8" s="129">
        <v>145000</v>
      </c>
      <c r="I8" s="129">
        <f>F8*G8</f>
        <v>145000</v>
      </c>
      <c r="J8" s="269">
        <f>F8*H8</f>
        <v>145000</v>
      </c>
    </row>
    <row r="9" spans="2:10" ht="90" customHeight="1">
      <c r="B9" s="133">
        <v>2</v>
      </c>
      <c r="C9" s="128" t="s">
        <v>347</v>
      </c>
      <c r="D9" s="241" t="s">
        <v>116</v>
      </c>
      <c r="E9" s="241" t="s">
        <v>152</v>
      </c>
      <c r="F9" s="242">
        <v>1</v>
      </c>
      <c r="G9" s="129">
        <v>145000</v>
      </c>
      <c r="H9" s="129">
        <v>145000</v>
      </c>
      <c r="I9" s="129">
        <f>F9*G9</f>
        <v>145000</v>
      </c>
      <c r="J9" s="269">
        <f>F9*H9</f>
        <v>145000</v>
      </c>
    </row>
    <row r="10" spans="2:10" ht="90" customHeight="1">
      <c r="B10" s="133">
        <v>3</v>
      </c>
      <c r="C10" s="128" t="s">
        <v>348</v>
      </c>
      <c r="D10" s="241" t="s">
        <v>116</v>
      </c>
      <c r="E10" s="241" t="s">
        <v>152</v>
      </c>
      <c r="F10" s="242">
        <v>1</v>
      </c>
      <c r="G10" s="129">
        <v>23000</v>
      </c>
      <c r="H10" s="129">
        <v>23000</v>
      </c>
      <c r="I10" s="129">
        <f>F10*G10</f>
        <v>23000</v>
      </c>
      <c r="J10" s="269">
        <f>F10*H10</f>
        <v>23000</v>
      </c>
    </row>
    <row r="11" spans="2:10" ht="90" customHeight="1" thickBot="1">
      <c r="B11" s="502" t="s">
        <v>75</v>
      </c>
      <c r="C11" s="503"/>
      <c r="D11" s="503"/>
      <c r="E11" s="503"/>
      <c r="F11" s="270">
        <f>SUM(F8:F10)</f>
        <v>3</v>
      </c>
      <c r="G11" s="271"/>
      <c r="H11" s="272"/>
      <c r="I11" s="270">
        <f>SUM(I8:I10)</f>
        <v>313000</v>
      </c>
      <c r="J11" s="273">
        <f>SUM(J8:J10)</f>
        <v>313000</v>
      </c>
    </row>
  </sheetData>
  <mergeCells count="9">
    <mergeCell ref="B11:E11"/>
    <mergeCell ref="I1:I2"/>
    <mergeCell ref="B3:C3"/>
    <mergeCell ref="B1:B2"/>
    <mergeCell ref="J1:J2"/>
    <mergeCell ref="B5:J5"/>
    <mergeCell ref="D2:H2"/>
    <mergeCell ref="D1:H1"/>
    <mergeCell ref="C1:C2"/>
  </mergeCells>
  <hyperlinks>
    <hyperlink ref="B3" location="Dashboard!A1" display="◀ بازگشت به داشبورد" xr:uid="{00000000-0004-0000-0700-000000000000}"/>
  </hyperlinks>
  <printOptions horizontalCentered="1" verticalCentered="1"/>
  <pageMargins left="0.1" right="0.1" top="0.1" bottom="0.1" header="0.1" footer="0.1"/>
  <pageSetup paperSize="8" scale="73"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15</vt:i4>
      </vt:variant>
    </vt:vector>
  </HeadingPairs>
  <TitlesOfParts>
    <vt:vector size="48" baseType="lpstr">
      <vt:lpstr>Dashboard</vt:lpstr>
      <vt:lpstr>توضیحات1</vt:lpstr>
      <vt:lpstr>Master Merged View (خلاصه کل)</vt:lpstr>
      <vt:lpstr>Master Merged View (English)</vt:lpstr>
      <vt:lpstr>توضیحات2 </vt:lpstr>
      <vt:lpstr>توضیحات3 </vt:lpstr>
      <vt:lpstr>Piping &amp; Valves</vt:lpstr>
      <vt:lpstr>Piping &amp; Valves تجمعی</vt:lpstr>
      <vt:lpstr>PIPING &amp; VALVES جدول تفکیک قیمت</vt:lpstr>
      <vt:lpstr>Piping</vt:lpstr>
      <vt:lpstr>Ball Valve</vt:lpstr>
      <vt:lpstr>Check Valve</vt:lpstr>
      <vt:lpstr>Gate Valve</vt:lpstr>
      <vt:lpstr>Chock Valve</vt:lpstr>
      <vt:lpstr>GLOBE VALVE</vt:lpstr>
      <vt:lpstr>EXPANSION JOINT</vt:lpstr>
      <vt:lpstr>bulk</vt:lpstr>
      <vt:lpstr>توضیحات3  (2)</vt:lpstr>
      <vt:lpstr>Mechanical</vt:lpstr>
      <vt:lpstr>Mechanicalتجمعی </vt:lpstr>
      <vt:lpstr>Mechanical جدول تفکیک </vt:lpstr>
      <vt:lpstr>ANCHOR FLANGE</vt:lpstr>
      <vt:lpstr>BLOCK VALVE</vt:lpstr>
      <vt:lpstr>توضیحات3  (3)</vt:lpstr>
      <vt:lpstr>Electrical</vt:lpstr>
      <vt:lpstr>توضیحات3  (4)</vt:lpstr>
      <vt:lpstr>Instrumentation</vt:lpstr>
      <vt:lpstr>توضیحات3  (5)</vt:lpstr>
      <vt:lpstr>Cathodic Protection</vt:lpstr>
      <vt:lpstr>توضیحات3  (6)</vt:lpstr>
      <vt:lpstr>Safety &amp; Fire Fighting</vt:lpstr>
      <vt:lpstr>توضیحات3  (7)</vt:lpstr>
      <vt:lpstr>Spare Parts</vt:lpstr>
      <vt:lpstr>Instrumentation!Print_Area</vt:lpstr>
      <vt:lpstr>'Master Merged View (خلاصه کل)'!Print_Area</vt:lpstr>
      <vt:lpstr>توضیحات1!Print_Area</vt:lpstr>
      <vt:lpstr>'توضیحات2 '!Print_Area</vt:lpstr>
      <vt:lpstr>'توضیحات3 '!Print_Area</vt:lpstr>
      <vt:lpstr>'توضیحات3  (2)'!Print_Area</vt:lpstr>
      <vt:lpstr>'توضیحات3  (3)'!Print_Area</vt:lpstr>
      <vt:lpstr>'توضیحات3  (4)'!Print_Area</vt:lpstr>
      <vt:lpstr>'توضیحات3  (5)'!Print_Area</vt:lpstr>
      <vt:lpstr>'توضیحات3  (6)'!Print_Area</vt:lpstr>
      <vt:lpstr>'توضیحات3  (7)'!Print_Area</vt:lpstr>
      <vt:lpstr>Dashboard!Print_Titles</vt:lpstr>
      <vt:lpstr>'Mechanicalتجمعی '!Print_Titles</vt:lpstr>
      <vt:lpstr>'Piping &amp; Valves تجمعی'!Print_Titles</vt:lpstr>
      <vt:lpstr>'Spare Parts'!Print_Titles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ahr</cp:lastModifiedBy>
  <cp:lastPrinted>2026-09-01T12:10:08Z</cp:lastPrinted>
  <dcterms:created xsi:type="dcterms:W3CDTF">2026-08-30T06:14:42Z</dcterms:created>
  <dcterms:modified xsi:type="dcterms:W3CDTF">2026-09-03T10:43:20Z</dcterms:modified>
</cp:coreProperties>
</file>